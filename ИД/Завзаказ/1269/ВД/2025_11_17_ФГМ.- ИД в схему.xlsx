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ZAKAZCHIK\2025\Прейдак\Юр-Пак\"/>
    </mc:Choice>
  </mc:AlternateContent>
  <xr:revisionPtr revIDLastSave="0" documentId="13_ncr:1_{8D586983-EF62-4C86-8438-5D413816E5D8}" xr6:coauthVersionLast="47" xr6:coauthVersionMax="47" xr10:uidLastSave="{00000000-0000-0000-0000-000000000000}"/>
  <bookViews>
    <workbookView xWindow="-108" yWindow="-108" windowWidth="23256" windowHeight="12576" tabRatio="580" xr2:uid="{00000000-000D-0000-FFFF-FFFF00000000}"/>
  </bookViews>
  <sheets>
    <sheet name="Вариант №2 (2)" sheetId="133" r:id="rId1"/>
    <sheet name="Вариант №2 (3)" sheetId="134" r:id="rId2"/>
    <sheet name="Кабель" sheetId="136" r:id="rId3"/>
    <sheet name="Доработка 17_11" sheetId="135" r:id="rId4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35" l="1"/>
  <c r="O5" i="135"/>
  <c r="O4" i="135"/>
  <c r="O3" i="135"/>
  <c r="I3" i="135"/>
  <c r="I8" i="135"/>
  <c r="K8" i="135" s="1"/>
  <c r="L8" i="135" s="1"/>
  <c r="J8" i="135" l="1"/>
  <c r="I6" i="135"/>
  <c r="J6" i="135" s="1"/>
  <c r="I15" i="135"/>
  <c r="K15" i="135" s="1"/>
  <c r="L15" i="135" s="1"/>
  <c r="I14" i="135"/>
  <c r="J14" i="135" s="1"/>
  <c r="Q13" i="135"/>
  <c r="I13" i="135"/>
  <c r="Q12" i="135"/>
  <c r="I12" i="135"/>
  <c r="K12" i="135" s="1"/>
  <c r="L12" i="135" s="1"/>
  <c r="I11" i="135"/>
  <c r="K11" i="135" s="1"/>
  <c r="L11" i="135" s="1"/>
  <c r="I9" i="135"/>
  <c r="K9" i="135" s="1"/>
  <c r="L9" i="135" s="1"/>
  <c r="I5" i="135"/>
  <c r="K5" i="135" s="1"/>
  <c r="L5" i="135" s="1"/>
  <c r="I4" i="135"/>
  <c r="K4" i="135" s="1"/>
  <c r="L4" i="135" s="1"/>
  <c r="I7" i="135"/>
  <c r="K7" i="135" s="1"/>
  <c r="L7" i="135" s="1"/>
  <c r="G130" i="133"/>
  <c r="I132" i="133"/>
  <c r="K132" i="133" s="1"/>
  <c r="L132" i="133" s="1"/>
  <c r="I131" i="133"/>
  <c r="J131" i="133" s="1"/>
  <c r="Q130" i="133"/>
  <c r="P130" i="133"/>
  <c r="I130" i="133"/>
  <c r="K130" i="133" s="1"/>
  <c r="P129" i="133"/>
  <c r="Q129" i="133" s="1"/>
  <c r="Q131" i="133" s="1"/>
  <c r="I129" i="133"/>
  <c r="K129" i="133" s="1"/>
  <c r="L129" i="133" s="1"/>
  <c r="P128" i="133"/>
  <c r="I128" i="133"/>
  <c r="K128" i="133" s="1"/>
  <c r="L128" i="133" s="1"/>
  <c r="I118" i="133"/>
  <c r="K118" i="133" s="1"/>
  <c r="L118" i="133" s="1"/>
  <c r="I117" i="133"/>
  <c r="J117" i="133" s="1"/>
  <c r="I116" i="133"/>
  <c r="J116" i="133" s="1"/>
  <c r="P124" i="133"/>
  <c r="Q124" i="133" s="1"/>
  <c r="P123" i="133"/>
  <c r="Q123" i="133" s="1"/>
  <c r="P122" i="133"/>
  <c r="I123" i="133"/>
  <c r="K123" i="133" s="1"/>
  <c r="L123" i="133" s="1"/>
  <c r="I126" i="133"/>
  <c r="K126" i="133" s="1"/>
  <c r="L126" i="133" s="1"/>
  <c r="I125" i="133"/>
  <c r="K125" i="133" s="1"/>
  <c r="L125" i="133" s="1"/>
  <c r="I124" i="133"/>
  <c r="K124" i="133" s="1"/>
  <c r="L124" i="133" s="1"/>
  <c r="I122" i="133"/>
  <c r="K122" i="133" s="1"/>
  <c r="L122" i="133" s="1"/>
  <c r="I120" i="133"/>
  <c r="K120" i="133" s="1"/>
  <c r="L120" i="133" s="1"/>
  <c r="K119" i="133" s="1"/>
  <c r="K14" i="135" l="1"/>
  <c r="L14" i="135" s="1"/>
  <c r="K6" i="135"/>
  <c r="L6" i="135" s="1"/>
  <c r="K3" i="135" s="1"/>
  <c r="N3" i="135" s="1"/>
  <c r="J11" i="135"/>
  <c r="Q14" i="135"/>
  <c r="J13" i="135"/>
  <c r="J7" i="135"/>
  <c r="J4" i="135"/>
  <c r="J9" i="135"/>
  <c r="J12" i="135"/>
  <c r="K13" i="135"/>
  <c r="L13" i="135" s="1"/>
  <c r="J15" i="135"/>
  <c r="J5" i="135"/>
  <c r="L130" i="133"/>
  <c r="J132" i="133"/>
  <c r="J128" i="133"/>
  <c r="J130" i="133"/>
  <c r="P131" i="133"/>
  <c r="K131" i="133"/>
  <c r="L131" i="133" s="1"/>
  <c r="J129" i="133"/>
  <c r="Q125" i="133"/>
  <c r="K116" i="133"/>
  <c r="L116" i="133" s="1"/>
  <c r="P125" i="133"/>
  <c r="K117" i="133"/>
  <c r="L117" i="133" s="1"/>
  <c r="J118" i="133"/>
  <c r="J123" i="133"/>
  <c r="J122" i="133"/>
  <c r="J125" i="133"/>
  <c r="J124" i="133"/>
  <c r="J126" i="133"/>
  <c r="J120" i="133"/>
  <c r="I119" i="133" s="1"/>
  <c r="K10" i="135" l="1"/>
  <c r="N10" i="135" s="1"/>
  <c r="M3" i="135"/>
  <c r="I10" i="135"/>
  <c r="K127" i="133"/>
  <c r="N127" i="133" s="1"/>
  <c r="K121" i="133"/>
  <c r="N121" i="133" s="1"/>
  <c r="I127" i="133"/>
  <c r="K115" i="133"/>
  <c r="M115" i="133" s="1"/>
  <c r="I115" i="133"/>
  <c r="I121" i="133"/>
  <c r="N119" i="133"/>
  <c r="O119" i="133" s="1"/>
  <c r="M119" i="133"/>
  <c r="M10" i="135" l="1"/>
  <c r="M2" i="135" s="1"/>
  <c r="N2" i="135"/>
  <c r="M127" i="133"/>
  <c r="M121" i="133"/>
  <c r="N115" i="133"/>
  <c r="I96" i="133"/>
  <c r="K96" i="133" s="1"/>
  <c r="L96" i="133" s="1"/>
  <c r="I95" i="133"/>
  <c r="K95" i="133" s="1"/>
  <c r="L95" i="133" s="1"/>
  <c r="I94" i="133"/>
  <c r="K94" i="133" s="1"/>
  <c r="L94" i="133" s="1"/>
  <c r="I93" i="133"/>
  <c r="K93" i="133" s="1"/>
  <c r="L93" i="133" s="1"/>
  <c r="I92" i="133"/>
  <c r="K92" i="133" s="1"/>
  <c r="L92" i="133" s="1"/>
  <c r="J92" i="133" l="1"/>
  <c r="J96" i="133"/>
  <c r="J94" i="133"/>
  <c r="J95" i="133"/>
  <c r="J93" i="133"/>
  <c r="I111" i="133" l="1"/>
  <c r="J111" i="133" s="1"/>
  <c r="I90" i="133"/>
  <c r="K90" i="133" s="1"/>
  <c r="L90" i="133" s="1"/>
  <c r="I89" i="133"/>
  <c r="K89" i="133" s="1"/>
  <c r="L89" i="133" s="1"/>
  <c r="I98" i="133"/>
  <c r="K98" i="133" s="1"/>
  <c r="L98" i="133" s="1"/>
  <c r="I97" i="133"/>
  <c r="J97" i="133" s="1"/>
  <c r="I91" i="133"/>
  <c r="I88" i="133"/>
  <c r="J88" i="133" s="1"/>
  <c r="I87" i="133"/>
  <c r="K87" i="133" s="1"/>
  <c r="L87" i="133" s="1"/>
  <c r="I86" i="133"/>
  <c r="J86" i="133" s="1"/>
  <c r="I17" i="133"/>
  <c r="K17" i="133" s="1"/>
  <c r="L17" i="133" s="1"/>
  <c r="I16" i="133"/>
  <c r="K16" i="133" s="1"/>
  <c r="L16" i="133" s="1"/>
  <c r="I15" i="133"/>
  <c r="K15" i="133" s="1"/>
  <c r="L15" i="133" s="1"/>
  <c r="I14" i="133"/>
  <c r="K14" i="133" s="1"/>
  <c r="L14" i="133" s="1"/>
  <c r="I13" i="133"/>
  <c r="K13" i="133" s="1"/>
  <c r="L13" i="133" s="1"/>
  <c r="I12" i="133"/>
  <c r="K12" i="133" s="1"/>
  <c r="L12" i="133" s="1"/>
  <c r="I11" i="133"/>
  <c r="K11" i="133" s="1"/>
  <c r="L11" i="133" s="1"/>
  <c r="I10" i="133"/>
  <c r="K10" i="133" s="1"/>
  <c r="L10" i="133" s="1"/>
  <c r="I9" i="133"/>
  <c r="K9" i="133" s="1"/>
  <c r="L9" i="133" s="1"/>
  <c r="I8" i="133"/>
  <c r="K8" i="133" s="1"/>
  <c r="L8" i="133" s="1"/>
  <c r="I7" i="133"/>
  <c r="K7" i="133" s="1"/>
  <c r="L7" i="133" s="1"/>
  <c r="I6" i="133"/>
  <c r="K6" i="133" s="1"/>
  <c r="L6" i="133" s="1"/>
  <c r="K111" i="133" l="1"/>
  <c r="L111" i="133" s="1"/>
  <c r="K86" i="133"/>
  <c r="L86" i="133" s="1"/>
  <c r="K97" i="133"/>
  <c r="L97" i="133" s="1"/>
  <c r="K88" i="133"/>
  <c r="L88" i="133" s="1"/>
  <c r="J89" i="133"/>
  <c r="J90" i="133"/>
  <c r="J98" i="133"/>
  <c r="K91" i="133"/>
  <c r="L91" i="133" s="1"/>
  <c r="J91" i="133"/>
  <c r="J87" i="133"/>
  <c r="J6" i="133"/>
  <c r="J8" i="133"/>
  <c r="J10" i="133"/>
  <c r="J12" i="133"/>
  <c r="J14" i="133"/>
  <c r="J16" i="133"/>
  <c r="J9" i="133"/>
  <c r="J11" i="133"/>
  <c r="J13" i="133"/>
  <c r="J15" i="133"/>
  <c r="J17" i="133"/>
  <c r="J7" i="133"/>
  <c r="O20" i="133" l="1"/>
  <c r="I101" i="133"/>
  <c r="K101" i="133" s="1"/>
  <c r="L101" i="133" s="1"/>
  <c r="I18" i="133"/>
  <c r="K18" i="133" s="1"/>
  <c r="L18" i="133" s="1"/>
  <c r="I85" i="133"/>
  <c r="K85" i="133" s="1"/>
  <c r="L85" i="133" s="1"/>
  <c r="I84" i="133"/>
  <c r="K84" i="133" s="1"/>
  <c r="L84" i="133" s="1"/>
  <c r="I83" i="133"/>
  <c r="K83" i="133" s="1"/>
  <c r="L83" i="133" s="1"/>
  <c r="I82" i="133"/>
  <c r="K82" i="133" s="1"/>
  <c r="L82" i="133" s="1"/>
  <c r="I81" i="133"/>
  <c r="K81" i="133" s="1"/>
  <c r="L81" i="133" s="1"/>
  <c r="I80" i="133"/>
  <c r="K80" i="133" s="1"/>
  <c r="L80" i="133" s="1"/>
  <c r="I79" i="133"/>
  <c r="K79" i="133" s="1"/>
  <c r="L79" i="133" s="1"/>
  <c r="I78" i="133"/>
  <c r="K78" i="133" s="1"/>
  <c r="L78" i="133" s="1"/>
  <c r="I77" i="133"/>
  <c r="K77" i="133" s="1"/>
  <c r="I76" i="133"/>
  <c r="K76" i="133" s="1"/>
  <c r="L76" i="133" s="1"/>
  <c r="I75" i="133"/>
  <c r="K75" i="133" s="1"/>
  <c r="L75" i="133" s="1"/>
  <c r="I74" i="133"/>
  <c r="K74" i="133" s="1"/>
  <c r="L74" i="133" s="1"/>
  <c r="I73" i="133"/>
  <c r="K73" i="133" s="1"/>
  <c r="L73" i="133" s="1"/>
  <c r="I72" i="133"/>
  <c r="K72" i="133" s="1"/>
  <c r="L72" i="133" s="1"/>
  <c r="I71" i="133"/>
  <c r="K71" i="133" s="1"/>
  <c r="L71" i="133" s="1"/>
  <c r="I70" i="133"/>
  <c r="K70" i="133" s="1"/>
  <c r="L70" i="133" s="1"/>
  <c r="I69" i="133"/>
  <c r="K69" i="133" s="1"/>
  <c r="L69" i="133" s="1"/>
  <c r="I68" i="133"/>
  <c r="K68" i="133" s="1"/>
  <c r="L68" i="133" s="1"/>
  <c r="I67" i="133"/>
  <c r="J67" i="133" s="1"/>
  <c r="I66" i="133"/>
  <c r="K66" i="133" s="1"/>
  <c r="L66" i="133" s="1"/>
  <c r="I65" i="133"/>
  <c r="J65" i="133" s="1"/>
  <c r="I64" i="133"/>
  <c r="K64" i="133" s="1"/>
  <c r="L64" i="133" s="1"/>
  <c r="I63" i="133"/>
  <c r="J63" i="133" s="1"/>
  <c r="I62" i="133"/>
  <c r="K62" i="133" s="1"/>
  <c r="L62" i="133" s="1"/>
  <c r="I61" i="133"/>
  <c r="J61" i="133" s="1"/>
  <c r="I60" i="133"/>
  <c r="J60" i="133" s="1"/>
  <c r="I59" i="133"/>
  <c r="K59" i="133" s="1"/>
  <c r="L59" i="133" s="1"/>
  <c r="I58" i="133"/>
  <c r="J58" i="133" s="1"/>
  <c r="I106" i="133"/>
  <c r="K106" i="133" s="1"/>
  <c r="L106" i="133" s="1"/>
  <c r="F105" i="133"/>
  <c r="I105" i="133" s="1"/>
  <c r="I56" i="133"/>
  <c r="K56" i="133" s="1"/>
  <c r="L56" i="133" s="1"/>
  <c r="I55" i="133"/>
  <c r="K55" i="133" s="1"/>
  <c r="L55" i="133" s="1"/>
  <c r="I54" i="133"/>
  <c r="K54" i="133" s="1"/>
  <c r="L54" i="133" s="1"/>
  <c r="I53" i="133"/>
  <c r="K53" i="133" s="1"/>
  <c r="L53" i="133" s="1"/>
  <c r="I52" i="133"/>
  <c r="K52" i="133" s="1"/>
  <c r="L52" i="133" s="1"/>
  <c r="I51" i="133"/>
  <c r="K51" i="133" s="1"/>
  <c r="L51" i="133" s="1"/>
  <c r="I50" i="133"/>
  <c r="K50" i="133" s="1"/>
  <c r="L50" i="133" s="1"/>
  <c r="I49" i="133"/>
  <c r="K49" i="133" s="1"/>
  <c r="L49" i="133" s="1"/>
  <c r="I48" i="133"/>
  <c r="K48" i="133" s="1"/>
  <c r="G48" i="133"/>
  <c r="I47" i="133"/>
  <c r="K47" i="133" s="1"/>
  <c r="L47" i="133" s="1"/>
  <c r="I46" i="133"/>
  <c r="K46" i="133" s="1"/>
  <c r="L46" i="133" s="1"/>
  <c r="I45" i="133"/>
  <c r="K45" i="133" s="1"/>
  <c r="L45" i="133" s="1"/>
  <c r="I44" i="133"/>
  <c r="J44" i="133" s="1"/>
  <c r="I43" i="133"/>
  <c r="K43" i="133" s="1"/>
  <c r="L43" i="133" s="1"/>
  <c r="I42" i="133"/>
  <c r="K42" i="133" s="1"/>
  <c r="L42" i="133" s="1"/>
  <c r="I41" i="133"/>
  <c r="K41" i="133" s="1"/>
  <c r="L41" i="133" s="1"/>
  <c r="I40" i="133"/>
  <c r="J40" i="133" s="1"/>
  <c r="I39" i="133"/>
  <c r="K39" i="133" s="1"/>
  <c r="L39" i="133" s="1"/>
  <c r="I38" i="133"/>
  <c r="J38" i="133" s="1"/>
  <c r="I37" i="133"/>
  <c r="K37" i="133" s="1"/>
  <c r="L37" i="133" s="1"/>
  <c r="I36" i="133"/>
  <c r="J36" i="133" s="1"/>
  <c r="I35" i="133"/>
  <c r="K35" i="133" s="1"/>
  <c r="L35" i="133" s="1"/>
  <c r="I34" i="133"/>
  <c r="J34" i="133" s="1"/>
  <c r="I33" i="133"/>
  <c r="J33" i="133" s="1"/>
  <c r="I32" i="133"/>
  <c r="K32" i="133" s="1"/>
  <c r="L32" i="133" s="1"/>
  <c r="I31" i="133"/>
  <c r="J31" i="133" s="1"/>
  <c r="J70" i="133" l="1"/>
  <c r="J101" i="133"/>
  <c r="J79" i="133"/>
  <c r="K58" i="133"/>
  <c r="L58" i="133" s="1"/>
  <c r="K67" i="133"/>
  <c r="L67" i="133" s="1"/>
  <c r="J66" i="133"/>
  <c r="L77" i="133"/>
  <c r="J83" i="133"/>
  <c r="J18" i="133"/>
  <c r="J59" i="133"/>
  <c r="J64" i="133"/>
  <c r="J75" i="133"/>
  <c r="K65" i="133"/>
  <c r="L65" i="133" s="1"/>
  <c r="J62" i="133"/>
  <c r="J69" i="133"/>
  <c r="J72" i="133"/>
  <c r="K63" i="133"/>
  <c r="L63" i="133" s="1"/>
  <c r="J73" i="133"/>
  <c r="J76" i="133"/>
  <c r="J71" i="133"/>
  <c r="J74" i="133"/>
  <c r="J77" i="133"/>
  <c r="J81" i="133"/>
  <c r="J85" i="133"/>
  <c r="K61" i="133"/>
  <c r="L61" i="133" s="1"/>
  <c r="J68" i="133"/>
  <c r="K60" i="133"/>
  <c r="L60" i="133" s="1"/>
  <c r="J78" i="133"/>
  <c r="J80" i="133"/>
  <c r="J82" i="133"/>
  <c r="J84" i="133"/>
  <c r="K105" i="133"/>
  <c r="L105" i="133" s="1"/>
  <c r="J105" i="133"/>
  <c r="J106" i="133"/>
  <c r="K44" i="133"/>
  <c r="L44" i="133" s="1"/>
  <c r="J39" i="133"/>
  <c r="K38" i="133"/>
  <c r="L38" i="133" s="1"/>
  <c r="K31" i="133"/>
  <c r="L31" i="133" s="1"/>
  <c r="J35" i="133"/>
  <c r="J46" i="133"/>
  <c r="L48" i="133"/>
  <c r="J41" i="133"/>
  <c r="K33" i="133"/>
  <c r="L33" i="133" s="1"/>
  <c r="K36" i="133"/>
  <c r="L36" i="133" s="1"/>
  <c r="K40" i="133"/>
  <c r="L40" i="133" s="1"/>
  <c r="J50" i="133"/>
  <c r="J54" i="133"/>
  <c r="J43" i="133"/>
  <c r="K34" i="133"/>
  <c r="L34" i="133" s="1"/>
  <c r="J37" i="133"/>
  <c r="J47" i="133"/>
  <c r="J42" i="133"/>
  <c r="J45" i="133"/>
  <c r="J48" i="133"/>
  <c r="J52" i="133"/>
  <c r="J56" i="133"/>
  <c r="J32" i="133"/>
  <c r="J49" i="133"/>
  <c r="J51" i="133"/>
  <c r="J53" i="133"/>
  <c r="J55" i="133"/>
  <c r="I114" i="133" l="1"/>
  <c r="K114" i="133" s="1"/>
  <c r="L114" i="133" s="1"/>
  <c r="I113" i="133"/>
  <c r="K113" i="133" s="1"/>
  <c r="L113" i="133" s="1"/>
  <c r="I112" i="133"/>
  <c r="K112" i="133" s="1"/>
  <c r="L112" i="133" s="1"/>
  <c r="I110" i="133"/>
  <c r="K110" i="133" s="1"/>
  <c r="L110" i="133" s="1"/>
  <c r="I109" i="133"/>
  <c r="K109" i="133" s="1"/>
  <c r="L109" i="133" s="1"/>
  <c r="I108" i="133"/>
  <c r="J108" i="133" s="1"/>
  <c r="I107" i="133"/>
  <c r="K107" i="133" s="1"/>
  <c r="L107" i="133" s="1"/>
  <c r="I104" i="133"/>
  <c r="K104" i="133" s="1"/>
  <c r="L104" i="133" s="1"/>
  <c r="I103" i="133"/>
  <c r="K103" i="133" s="1"/>
  <c r="L103" i="133" s="1"/>
  <c r="I102" i="133"/>
  <c r="K102" i="133" s="1"/>
  <c r="L102" i="133" s="1"/>
  <c r="I100" i="133"/>
  <c r="J100" i="133" s="1"/>
  <c r="I24" i="133"/>
  <c r="K24" i="133" s="1"/>
  <c r="L24" i="133" s="1"/>
  <c r="I23" i="133"/>
  <c r="K23" i="133" s="1"/>
  <c r="L23" i="133" s="1"/>
  <c r="F22" i="133"/>
  <c r="I22" i="133" s="1"/>
  <c r="I20" i="133"/>
  <c r="J20" i="133" s="1"/>
  <c r="I19" i="133"/>
  <c r="J19" i="133" s="1"/>
  <c r="J24" i="133" l="1"/>
  <c r="K20" i="133"/>
  <c r="L20" i="133" s="1"/>
  <c r="K19" i="133"/>
  <c r="L19" i="133" s="1"/>
  <c r="J22" i="133"/>
  <c r="K22" i="133"/>
  <c r="L22" i="133" s="1"/>
  <c r="J103" i="133"/>
  <c r="J110" i="133"/>
  <c r="K100" i="133"/>
  <c r="L100" i="133" s="1"/>
  <c r="K108" i="133"/>
  <c r="L108" i="133" s="1"/>
  <c r="J102" i="133"/>
  <c r="J104" i="133"/>
  <c r="J107" i="133"/>
  <c r="J109" i="133"/>
  <c r="J112" i="133"/>
  <c r="J114" i="133"/>
  <c r="J23" i="133"/>
  <c r="J113" i="133"/>
  <c r="K99" i="133" l="1"/>
  <c r="M99" i="133" s="1"/>
  <c r="I3" i="133"/>
  <c r="I99" i="133"/>
  <c r="K3" i="133"/>
  <c r="N3" i="133" s="1"/>
  <c r="O3" i="133" s="1"/>
  <c r="N99" i="133" l="1"/>
  <c r="F27" i="133"/>
  <c r="F28" i="133"/>
  <c r="F26" i="133"/>
  <c r="O99" i="133" l="1"/>
  <c r="P119" i="133" s="1"/>
  <c r="Q119" i="133" s="1"/>
  <c r="Q120" i="133" s="1"/>
  <c r="N2" i="133"/>
  <c r="M3" i="133"/>
  <c r="M2" i="1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6" authorId="0" shapeId="0" xr:uid="{958D3C9E-2A7C-40B0-9C98-3FE9F1CD7189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A7" authorId="0" shapeId="0" xr:uid="{69F746F3-A5C2-4C89-95C1-EACFBFB70FF7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A8" authorId="0" shapeId="0" xr:uid="{87EBCFA3-E9D9-45D2-B3B3-38C0F5CC06F8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A9" authorId="0" shapeId="0" xr:uid="{B80DCA19-3F1E-48AA-BD54-47F5CC381137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A10" authorId="0" shapeId="0" xr:uid="{3A58C43D-923E-4BBC-A717-F7EEB5019641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A11" authorId="0" shapeId="0" xr:uid="{12C096AB-93C5-427A-BA5C-3D7EB96B040E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A12" authorId="0" shapeId="0" xr:uid="{E9FDF529-17ED-4E61-941E-3F74335B6957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A13" authorId="0" shapeId="0" xr:uid="{D6037D2D-9BC4-4134-A782-B86C97C9912F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A14" authorId="0" shapeId="0" xr:uid="{11369ED5-118B-431F-A592-2CCF82603A91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A16" authorId="0" shapeId="0" xr:uid="{65D079EC-199A-4CF5-9BE9-24ED00A3C4E1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  <comment ref="A17" authorId="0" shapeId="0" xr:uid="{82BB2929-C8E4-4C49-9BA6-9646EEF1FADD}">
      <text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6" authorId="0" shapeId="0" xr:uid="{87DC0585-5EE5-442F-923A-35C13AC0B8A4}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<sst xmlns="http://schemas.openxmlformats.org/spreadsheetml/2006/main" count="318" uniqueCount="190">
  <si>
    <t>без НДС</t>
  </si>
  <si>
    <t>цена</t>
  </si>
  <si>
    <t>сумма</t>
  </si>
  <si>
    <t>НАИМЕНОВАНИЕ</t>
  </si>
  <si>
    <t>скидка</t>
  </si>
  <si>
    <t>c НДС</t>
  </si>
  <si>
    <t>EUR</t>
  </si>
  <si>
    <t>%</t>
  </si>
  <si>
    <t>шт</t>
  </si>
  <si>
    <t>кол.</t>
  </si>
  <si>
    <t>USD c НДС</t>
  </si>
  <si>
    <t>ПРАЙС</t>
  </si>
  <si>
    <t>ЗАКУПКА</t>
  </si>
  <si>
    <t>АРТИКУЛ</t>
  </si>
  <si>
    <t>↓</t>
  </si>
  <si>
    <t>↑</t>
  </si>
  <si>
    <t>UAH</t>
  </si>
  <si>
    <t>Конструктив</t>
  </si>
  <si>
    <t>Работа</t>
  </si>
  <si>
    <t>Цех</t>
  </si>
  <si>
    <t>Техотдел</t>
  </si>
  <si>
    <t>ОТК</t>
  </si>
  <si>
    <t>Разное</t>
  </si>
  <si>
    <t>4510011</t>
  </si>
  <si>
    <t>Провід H05V-K 1X0,5 чорний у бухтах по 100 м</t>
  </si>
  <si>
    <t>BM00601</t>
  </si>
  <si>
    <t>Наконечник, 0,5 мм2</t>
  </si>
  <si>
    <t xml:space="preserve">Питание </t>
  </si>
  <si>
    <t>NSYCAG291LPF</t>
  </si>
  <si>
    <t>РЕШІТКА ВИПУСКНА 291X291</t>
  </si>
  <si>
    <t>NSYCCOTHO</t>
  </si>
  <si>
    <t>ТЕРМОСТАТ ВЕНТИЛЯТОРА °C</t>
  </si>
  <si>
    <t>Рубильник 250 А +.боковая ручка+ штанга 200 мм</t>
  </si>
  <si>
    <t>РБД-250</t>
  </si>
  <si>
    <t>MT4W-4N</t>
  </si>
  <si>
    <t>MT4W-DV-4N</t>
  </si>
  <si>
    <t>2.2 кОм</t>
  </si>
  <si>
    <t>GVAE1</t>
  </si>
  <si>
    <t>ДОДАТ.БЛОК КОНТАКТІВ НО АБО НЗ</t>
  </si>
  <si>
    <t>ZBE101</t>
  </si>
  <si>
    <t>БЛОК-КОНТ для XB5, 1НО</t>
  </si>
  <si>
    <t>A9F79210</t>
  </si>
  <si>
    <t>АВТ. ВИМИКАЧ iC60N 2P 10A C</t>
  </si>
  <si>
    <t>8,33</t>
  </si>
  <si>
    <t>A9F78206</t>
  </si>
  <si>
    <t>АВТ. ВИМИКАЧ iC60N 2P  6A  B</t>
  </si>
  <si>
    <t>9,9</t>
  </si>
  <si>
    <t>КНОПКА АВАР. ОСТ. НЗ ВОЗВР. ПОВ.</t>
  </si>
  <si>
    <t>БЛОК-КОНТ. ДЛЯ ВИНТ. КРЕПЛЕНИЯ 1НО</t>
  </si>
  <si>
    <t>Реле R4</t>
  </si>
  <si>
    <t>Реле времени</t>
  </si>
  <si>
    <t>Розетка220В 16А</t>
  </si>
  <si>
    <t>XA2EVM3LC</t>
  </si>
  <si>
    <t>СВІТЛОД, ІНДИКАТОР ,220В AC, ЗЕЛЕНИЙ</t>
  </si>
  <si>
    <t>XA2EW33M1</t>
  </si>
  <si>
    <t>КНОП.З ПІДС.,LED,220В,ЗЕЛЕН.,1НВ</t>
  </si>
  <si>
    <t>XA2EW34M1</t>
  </si>
  <si>
    <t>КНОП.З ПІДСВ.,LED,220В,ЧЕРВ.,1НO</t>
  </si>
  <si>
    <t>Главный привод 22 кВт</t>
  </si>
  <si>
    <t>Поз. , Норія, 30 кВт</t>
  </si>
  <si>
    <t>GV3P65</t>
  </si>
  <si>
    <t>АВТ. ВИМ З КОМБ.РОЗЧЕП.65А ГВИНТ.ЗАТИСК.</t>
  </si>
  <si>
    <t>A9K02106</t>
  </si>
  <si>
    <t>Автоматичний вимикач K60N 1P 6A C 6кA</t>
  </si>
  <si>
    <t>ZB5AD3</t>
  </si>
  <si>
    <t>ГОЛОВКА ДЛЯ ПЕРЕМИКАЧА</t>
  </si>
  <si>
    <t>ZB5AZ009</t>
  </si>
  <si>
    <t>ФІКСУЮЧА ПЛАСТИНА ХВ5А</t>
  </si>
  <si>
    <t>3012325</t>
  </si>
  <si>
    <t>FBSC: Захисний ковпачок</t>
  </si>
  <si>
    <t>4520016</t>
  </si>
  <si>
    <t>Провід H07V-K 1X16 чорний (струм 85 А)</t>
  </si>
  <si>
    <t>BM00614</t>
  </si>
  <si>
    <t>Наконечник, 16 мм2</t>
  </si>
  <si>
    <t>3044199</t>
  </si>
  <si>
    <t>Прохідна клема 16 мм.кв. UT 16</t>
  </si>
  <si>
    <t>3044212</t>
  </si>
  <si>
    <t xml:space="preserve">Клема заземлення 16 мм.кв. UT 16-PE </t>
  </si>
  <si>
    <t>0829144</t>
  </si>
  <si>
    <t>Маркування для клем UCT-TM 12</t>
  </si>
  <si>
    <t>3047206</t>
  </si>
  <si>
    <t xml:space="preserve">Кінцева кришка D-UT 16 </t>
  </si>
  <si>
    <t>3022218</t>
  </si>
  <si>
    <t>Кінцевий тримач CLIPFIX 35</t>
  </si>
  <si>
    <t>0811969</t>
  </si>
  <si>
    <t xml:space="preserve">Тримач маркування KLM 3 </t>
  </si>
  <si>
    <t>5031388</t>
  </si>
  <si>
    <t xml:space="preserve">Листи з маркувальними етикетками BMK 20X 8 YE </t>
  </si>
  <si>
    <t>3210499</t>
  </si>
  <si>
    <t>PT 2,5-3L Прохідна клема</t>
  </si>
  <si>
    <t>0828744</t>
  </si>
  <si>
    <t>Маркування для клем UCT-TMF 5</t>
  </si>
  <si>
    <t>3211647</t>
  </si>
  <si>
    <t xml:space="preserve">Кінцева кришка D-PT 2,5-3L </t>
  </si>
  <si>
    <t>3044092</t>
  </si>
  <si>
    <t xml:space="preserve">Клема заземлення 2,5 мм.кв. UT 2,5-PE </t>
  </si>
  <si>
    <t>0828734</t>
  </si>
  <si>
    <t>Маркування для клем UCT-TM 5</t>
  </si>
  <si>
    <t>3047028</t>
  </si>
  <si>
    <t xml:space="preserve">Кінцева кришка D-UT 2,5/10 </t>
  </si>
  <si>
    <t>1163116</t>
  </si>
  <si>
    <t>WMS-OT HF 2,4 (EX4)RL: Маркувальний кембрік 120 метрів.</t>
  </si>
  <si>
    <t>atv930D30N4</t>
  </si>
  <si>
    <t>ПЕРЕТВОРЮВАЧ ЧАСТОТИ ATV930 30кВт 380В</t>
  </si>
  <si>
    <t>atv930D18N4</t>
  </si>
  <si>
    <t>ПЕРЕТВОРЮВАЧ ЧАСТОТИ ATV930 18,5кВт 380В</t>
  </si>
  <si>
    <t>Поз. , Норія, 18,5 кВт</t>
  </si>
  <si>
    <t>GV3P40</t>
  </si>
  <si>
    <t>АВТ. ВИМ З КОМБ.РОЗЧЕП.40А ГВИНТ.ЗАТИСК.</t>
  </si>
  <si>
    <t>4520014</t>
  </si>
  <si>
    <t>Провід H07V-K 1X6 чорний (струм 46 А)</t>
  </si>
  <si>
    <t>BM00610</t>
  </si>
  <si>
    <t>Наконечник, 6 мм2</t>
  </si>
  <si>
    <t>Управление ПУ ГП</t>
  </si>
  <si>
    <t>NSYCVF300M230PF</t>
  </si>
  <si>
    <t>ВЕНТИЛЯТОР 297M3Ч 230В</t>
  </si>
  <si>
    <t>XB5AVM4</t>
  </si>
  <si>
    <r>
      <t xml:space="preserve">СВІТЛОСИГНАЛЬНА ЛАМПА </t>
    </r>
    <r>
      <rPr>
        <b/>
        <sz val="10"/>
        <color rgb="FFFF0000"/>
        <rFont val="Arial Narrow"/>
        <family val="2"/>
        <charset val="204"/>
      </rPr>
      <t>"Червона"</t>
    </r>
    <r>
      <rPr>
        <b/>
        <sz val="10"/>
        <color rgb="FF178717"/>
        <rFont val="Arial Narrow"/>
        <family val="2"/>
        <charset val="204"/>
      </rPr>
      <t>, 230V AC</t>
    </r>
  </si>
  <si>
    <t>ПЕРЕКЛ. 2НО 3ПОЛ. ,t</t>
  </si>
  <si>
    <t>Шкаф управления</t>
  </si>
  <si>
    <t>2000х800х400</t>
  </si>
  <si>
    <t>XL55-2084</t>
  </si>
  <si>
    <t>Шафа XL55-2084</t>
  </si>
  <si>
    <t>XL-UM1</t>
  </si>
  <si>
    <t>Куток монтажний XL-UM1</t>
  </si>
  <si>
    <t>XL-RV18</t>
  </si>
  <si>
    <t>Рейка вертикальна XL-RV18</t>
  </si>
  <si>
    <t>XL-MM28</t>
  </si>
  <si>
    <t>Міст монтажний XL-MM28</t>
  </si>
  <si>
    <t>XL-MM48</t>
  </si>
  <si>
    <t>Міст монтажний XL-MM48</t>
  </si>
  <si>
    <t>XL-RH14</t>
  </si>
  <si>
    <t>Рейка горизонтальна XL-RH14</t>
  </si>
  <si>
    <t>XL-UM2</t>
  </si>
  <si>
    <t>Куток монтажний XL-UM2</t>
  </si>
  <si>
    <t>XLE-CB14</t>
  </si>
  <si>
    <t>Панель бокова цоколя XLE-CB14</t>
  </si>
  <si>
    <t>XLE-CT18</t>
  </si>
  <si>
    <t>Панель торцева цоколя XLE-CT18</t>
  </si>
  <si>
    <t>XLE-U10</t>
  </si>
  <si>
    <t>Кутовий елемент цоколя XLE-U10</t>
  </si>
  <si>
    <t>XL-RB12</t>
  </si>
  <si>
    <t>Рим-болт XL-RB12</t>
  </si>
  <si>
    <t>XL-UU20</t>
  </si>
  <si>
    <t>Куток універсальний XL-UU20</t>
  </si>
  <si>
    <t>Комплектация ПУ1</t>
  </si>
  <si>
    <t xml:space="preserve">Источник питания </t>
  </si>
  <si>
    <t>NDR-24-120</t>
  </si>
  <si>
    <t>TM241CE40T</t>
  </si>
  <si>
    <t>ПЛК M241 40 ВХ/ВИХ ТРАНЗ 2RS485 1ETH</t>
  </si>
  <si>
    <t>TM3DI16</t>
  </si>
  <si>
    <t>МОДУЛЬ TM3 16 ВХ =24В</t>
  </si>
  <si>
    <t>TM3AI8</t>
  </si>
  <si>
    <t>МОДУЛЬ TM3 8 АНАЛОГ ВХ 12 БІТ</t>
  </si>
  <si>
    <t>TM3AQ4G</t>
  </si>
  <si>
    <t>МОДУЛЬ TM3 4 АНАЛОГ ВИХ 12 БІТ ПРУЖ</t>
  </si>
  <si>
    <t>TM3XFHSC202G</t>
  </si>
  <si>
    <t>МОДУЛЬ TM3 ЕКСПЕРТ, 2 ЛІЧ.+ПОДІЯ, ПРУЖ.</t>
  </si>
  <si>
    <t>Датчики наши и др.</t>
  </si>
  <si>
    <t xml:space="preserve"> Індуктивний датчик IMC4040-CPKG/K1/US-100-DPA</t>
  </si>
  <si>
    <t>IM5135,</t>
  </si>
  <si>
    <t>Робота</t>
  </si>
  <si>
    <t xml:space="preserve">Робота з программування </t>
  </si>
  <si>
    <t>Пуско-налогоджувальні роботи</t>
  </si>
  <si>
    <t>Шеф-монтаж</t>
  </si>
  <si>
    <t>Командировочные расходы</t>
  </si>
  <si>
    <t>Шафа 2000х800х400 КУБ IP 54</t>
  </si>
  <si>
    <t>МОДУЛЬ TM3 ЕКСПЕРТ, 2 ЛІЧ.+ПОДІЯ, ПРУЖ. (для енкодера)</t>
  </si>
  <si>
    <t>Разное (Монтажные материалы, маркировка, ввод питания в шкафа, промежуточные, клеммы, разработка схемы, проверка ОТК)</t>
  </si>
  <si>
    <t>Комплектация ПУ1 заправка</t>
  </si>
  <si>
    <t>DLAP2 B</t>
  </si>
  <si>
    <t>Пульт RAVIOLI</t>
  </si>
  <si>
    <t>Разьем 4-пін</t>
  </si>
  <si>
    <t>Кабель</t>
  </si>
  <si>
    <t>Для приводов намотки КГ НВ 4х6</t>
  </si>
  <si>
    <t>Для главного привода  КГ НВ 4х10</t>
  </si>
  <si>
    <t>Датчик инжуктивній 3х1 єкран</t>
  </si>
  <si>
    <t xml:space="preserve">Виносний пульт  </t>
  </si>
  <si>
    <t>Розподільна клема PTFIX 6/18X2,5 BU</t>
  </si>
  <si>
    <t>клеммы соединительные</t>
  </si>
  <si>
    <t>Датчик индуктивній+резистор  3х1 єкран</t>
  </si>
  <si>
    <t>Пульт головного приводу</t>
  </si>
  <si>
    <t xml:space="preserve">Мотнатжні роботи </t>
  </si>
  <si>
    <t xml:space="preserve">Силовой </t>
  </si>
  <si>
    <t>Главній привод</t>
  </si>
  <si>
    <t>Привод намотки</t>
  </si>
  <si>
    <t xml:space="preserve">4х4 мм2 </t>
  </si>
  <si>
    <t>4х6 мм2</t>
  </si>
  <si>
    <t>Контрольній</t>
  </si>
  <si>
    <t xml:space="preserve">Датчики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</si>
</sst>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-* #,##0_-;\-* #,##0_-;_-* &quot;-&quot;_-;_-@_-"/>
    <numFmt numFmtId="164" formatCode="_-* #,##0_₴_-;\-* #,##0_₴_-;_-* &quot;-&quot;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_(* #,##0.00_);_(* \(#,##0.00\);_(* &quot;-&quot;??_);_(@_)"/>
    <numFmt numFmtId="168" formatCode="_-* #,##0.00\ &quot;zł&quot;_-;\-* #,##0.00\ &quot;zł&quot;_-;_-* &quot;-&quot;??\ &quot;zł&quot;_-;_-@_-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_р_._-;\-* #,##0_р_._-;_-* &quot;-&quot;_р_._-;_-@_-"/>
    <numFmt numFmtId="172" formatCode="_(&quot;$&quot;* #,##0_);_(&quot;$&quot;* \(#,##0\);_(&quot;$&quot;* &quot;-&quot;_);_(@_)"/>
    <numFmt numFmtId="173" formatCode="_(&quot;$&quot;* #,##0.00_);_(&quot;$&quot;* \(#,##0.00\);_(&quot;$&quot;* &quot;-&quot;??_);_(@_)"/>
    <numFmt numFmtId="174" formatCode="[Red]\+0%;[Blue]\-0%"/>
    <numFmt numFmtId="175" formatCode="_-* #,##0&quot;$&quot;_-;\-* #,##0&quot;$&quot;_-;_-* &quot;-&quot;&quot;$&quot;_-;_-@_-"/>
    <numFmt numFmtId="176" formatCode="_-* #,##0_$_-;\-* #,##0_$_-;_-* &quot;-&quot;_$_-;_-@_-"/>
    <numFmt numFmtId="177" formatCode="_-* #,##0.00&quot;$&quot;_-;\-* #,##0.00&quot;$&quot;_-;_-* &quot;-&quot;??&quot;$&quot;_-;_-@_-"/>
    <numFmt numFmtId="178" formatCode="_-* #,##0.00_$_-;\-* #,##0.00_$_-;_-* &quot;-&quot;??_$_-;_-@_-"/>
    <numFmt numFmtId="179" formatCode="_-&quot;€&quot;\ * #,##0.00_-;\-&quot;€&quot;\ * #,##0.00_-;_-&quot;€&quot;\ * &quot;-&quot;??_-;_-@_-"/>
    <numFmt numFmtId="180" formatCode="_-* #,##0.00_-;_-* #,##0.00\-;_-* &quot;-&quot;??_-;_-@_-"/>
    <numFmt numFmtId="181" formatCode="#,##0.00\ &quot;р.&quot;;[Red]\-#,##0.00\ &quot;р.&quot;"/>
    <numFmt numFmtId="182" formatCode="_-* #,##0\ &quot;р.&quot;_-;\-* #,##0\ &quot;р.&quot;_-;_-* &quot;-&quot;\ &quot;р.&quot;_-;_-@_-"/>
    <numFmt numFmtId="183" formatCode="&quot;$&quot;#,##0.00_);[Red]\(&quot;$&quot;#,##0.00\)"/>
    <numFmt numFmtId="184" formatCode="_-* #,##0.00[$р.-419]_-;\-* #,##0.00[$р.-419]_-;_-* &quot;-&quot;??[$р.-419]_-;_-@_-"/>
    <numFmt numFmtId="185" formatCode="_-* #,##0.00\ _z_ł_-;\-* #,##0.00\ _z_ł_-;_-* &quot;-&quot;??\ _z_ł_-;_-@_-"/>
  </numFmts>
  <fonts count="114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Helv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sz val="10"/>
      <name val="System"/>
      <family val="2"/>
      <charset val="204"/>
    </font>
    <font>
      <sz val="8"/>
      <color indexed="8"/>
      <name val="Arial CE"/>
      <family val="2"/>
      <charset val="238"/>
    </font>
    <font>
      <b/>
      <sz val="9"/>
      <color indexed="39"/>
      <name val="Arial CE"/>
      <family val="2"/>
      <charset val="238"/>
    </font>
    <font>
      <sz val="10"/>
      <name val="Tahoma"/>
      <family val="2"/>
    </font>
    <font>
      <sz val="11"/>
      <name val="돋움"/>
      <family val="3"/>
      <charset val="129"/>
    </font>
    <font>
      <sz val="10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</font>
    <font>
      <sz val="11"/>
      <color indexed="8"/>
      <name val="Calibri"/>
      <family val="2"/>
      <charset val="204"/>
    </font>
    <font>
      <sz val="10"/>
      <name val="Arial"/>
      <family val="2"/>
    </font>
    <font>
      <u/>
      <sz val="10"/>
      <color indexed="12"/>
      <name val="Arial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8"/>
      <name val="MS Sans Serif"/>
      <family val="2"/>
      <charset val="204"/>
    </font>
    <font>
      <sz val="11"/>
      <color theme="1"/>
      <name val="Calibri"/>
      <family val="2"/>
      <scheme val="minor"/>
    </font>
    <font>
      <sz val="10"/>
      <name val="Helv"/>
      <charset val="204"/>
    </font>
    <font>
      <sz val="11"/>
      <color indexed="8"/>
      <name val="Calibri"/>
      <family val="2"/>
    </font>
    <font>
      <sz val="10"/>
      <name val="Arial CE"/>
      <charset val="238"/>
    </font>
    <font>
      <sz val="10"/>
      <color indexed="39"/>
      <name val="Arial"/>
      <family val="2"/>
    </font>
    <font>
      <b/>
      <sz val="12"/>
      <color indexed="8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10"/>
      <name val="Arial"/>
      <family val="2"/>
    </font>
    <font>
      <sz val="10"/>
      <name val="Arial"/>
      <family val="2"/>
      <charset val="238"/>
    </font>
    <font>
      <sz val="10"/>
      <name val="Helv"/>
      <family val="2"/>
      <charset val="204"/>
    </font>
    <font>
      <sz val="10"/>
      <name val="Helv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name val="Arial CE"/>
      <family val="2"/>
      <charset val="238"/>
    </font>
    <font>
      <sz val="11"/>
      <color indexed="20"/>
      <name val="Calibri"/>
      <family val="2"/>
    </font>
    <font>
      <i/>
      <sz val="10"/>
      <name val="Comic Sans MS"/>
      <family val="4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u/>
      <sz val="8.5"/>
      <color theme="10"/>
      <name val="Arial Cyr"/>
      <charset val="204"/>
    </font>
    <font>
      <sz val="10"/>
      <name val="Arial Narrow"/>
      <family val="2"/>
      <charset val="204"/>
    </font>
    <font>
      <b/>
      <sz val="12"/>
      <color theme="0" tint="-0.499984740745262"/>
      <name val="Arial"/>
      <family val="2"/>
      <charset val="204"/>
    </font>
    <font>
      <b/>
      <sz val="12"/>
      <color rgb="FF0070C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0"/>
      <color theme="0" tint="-0.499984740745262"/>
      <name val="Arial"/>
      <family val="2"/>
      <charset val="204"/>
    </font>
    <font>
      <b/>
      <sz val="10"/>
      <color theme="3" tint="-0.249977111117893"/>
      <name val="Arial"/>
      <family val="2"/>
      <charset val="204"/>
    </font>
    <font>
      <b/>
      <sz val="10"/>
      <color rgb="FF00B050"/>
      <name val="Arial"/>
      <family val="2"/>
      <charset val="204"/>
    </font>
    <font>
      <sz val="10"/>
      <color rgb="FF00B050"/>
      <name val="Arial"/>
      <family val="2"/>
      <charset val="204"/>
    </font>
    <font>
      <b/>
      <sz val="12"/>
      <color rgb="FF7030A0"/>
      <name val="Arial"/>
      <family val="2"/>
      <charset val="204"/>
    </font>
    <font>
      <sz val="12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0"/>
      <color theme="9" tint="-0.249977111117893"/>
      <name val="Arial"/>
      <family val="2"/>
      <charset val="204"/>
    </font>
    <font>
      <sz val="6"/>
      <color theme="1"/>
      <name val="Arial Narrow"/>
      <family val="2"/>
      <charset val="204"/>
    </font>
    <font>
      <sz val="10"/>
      <color indexed="8"/>
      <name val="Arial Narrow"/>
      <family val="2"/>
      <charset val="204"/>
    </font>
    <font>
      <b/>
      <sz val="9"/>
      <color indexed="81"/>
      <name val="Tahoma"/>
      <family val="2"/>
      <charset val="204"/>
    </font>
    <font>
      <sz val="7"/>
      <name val="Arial Narrow"/>
      <family val="2"/>
      <charset val="204"/>
    </font>
    <font>
      <b/>
      <sz val="12"/>
      <name val="Arial Narrow"/>
      <family val="2"/>
      <charset val="204"/>
    </font>
    <font>
      <b/>
      <sz val="7"/>
      <color rgb="FF178717"/>
      <name val="Arial Narrow"/>
      <family val="2"/>
      <charset val="204"/>
    </font>
    <font>
      <b/>
      <sz val="10"/>
      <color rgb="FF178717"/>
      <name val="Arial Narrow"/>
      <family val="2"/>
      <charset val="204"/>
    </font>
    <font>
      <b/>
      <sz val="6"/>
      <color theme="0" tint="-0.499984740745262"/>
      <name val="Arial Narrow"/>
      <family val="2"/>
      <charset val="204"/>
    </font>
    <font>
      <b/>
      <sz val="10"/>
      <color theme="0" tint="-0.499984740745262"/>
      <name val="Arial Narrow"/>
      <family val="2"/>
      <charset val="204"/>
    </font>
    <font>
      <b/>
      <sz val="12"/>
      <color theme="3" tint="-0.249977111117893"/>
      <name val="Arial"/>
      <family val="2"/>
      <charset val="204"/>
    </font>
    <font>
      <b/>
      <sz val="10"/>
      <color theme="3" tint="-0.249977111117893"/>
      <name val="Arial Narrow"/>
      <family val="2"/>
      <charset val="204"/>
    </font>
    <font>
      <b/>
      <sz val="7"/>
      <color theme="1" tint="0.249977111117893"/>
      <name val="Arial Narrow"/>
      <family val="2"/>
      <charset val="204"/>
    </font>
    <font>
      <b/>
      <sz val="10"/>
      <color theme="1" tint="0.249977111117893"/>
      <name val="Arial Narrow"/>
      <family val="2"/>
      <charset val="204"/>
    </font>
    <font>
      <b/>
      <sz val="10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b/>
      <sz val="12"/>
      <color rgb="FF0070C0"/>
      <name val="Arial Narrow"/>
      <family val="2"/>
      <charset val="204"/>
    </font>
    <font>
      <sz val="9"/>
      <color indexed="81"/>
      <name val="Tahoma"/>
      <family val="2"/>
      <charset val="204"/>
    </font>
    <font>
      <sz val="8"/>
      <name val="Arial"/>
    </font>
    <font>
      <sz val="19"/>
      <color rgb="FF0E1D22"/>
      <name val="Arial"/>
      <family val="2"/>
      <charset val="204"/>
    </font>
  </fonts>
  <fills count="50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4F96F"/>
        <bgColor indexed="64"/>
      </patternFill>
    </fill>
    <fill>
      <patternFill patternType="solid">
        <fgColor rgb="FF9BE9D1"/>
        <bgColor indexed="64"/>
      </patternFill>
    </fill>
    <fill>
      <patternFill patternType="solid">
        <fgColor rgb="FFD2CAE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971">
    <xf numFmtId="0" fontId="0" fillId="0" borderId="0"/>
    <xf numFmtId="0" fontId="21" fillId="0" borderId="0" applyNumberFormat="0" applyFill="0" applyBorder="0" applyAlignment="0"/>
    <xf numFmtId="0" fontId="25" fillId="0" borderId="0"/>
    <xf numFmtId="0" fontId="22" fillId="0" borderId="0" applyNumberFormat="0"/>
    <xf numFmtId="4" fontId="17" fillId="2" borderId="1" applyNumberFormat="0" applyProtection="0">
      <alignment vertical="center"/>
    </xf>
    <xf numFmtId="4" fontId="18" fillId="3" borderId="1" applyNumberFormat="0" applyProtection="0">
      <alignment horizontal="left" vertical="center" indent="1"/>
    </xf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 applyNumberFormat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0" fontId="24" fillId="0" borderId="0"/>
    <xf numFmtId="0" fontId="24" fillId="0" borderId="0"/>
    <xf numFmtId="0" fontId="11" fillId="0" borderId="0"/>
    <xf numFmtId="0" fontId="27" fillId="0" borderId="0">
      <alignment horizontal="left"/>
    </xf>
    <xf numFmtId="0" fontId="25" fillId="0" borderId="0"/>
    <xf numFmtId="0" fontId="10" fillId="0" borderId="0"/>
    <xf numFmtId="166" fontId="10" fillId="0" borderId="0" applyFont="0" applyFill="0" applyBorder="0" applyAlignment="0" applyProtection="0"/>
    <xf numFmtId="0" fontId="13" fillId="0" borderId="0"/>
    <xf numFmtId="0" fontId="9" fillId="0" borderId="0"/>
    <xf numFmtId="0" fontId="1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6" fillId="0" borderId="0"/>
    <xf numFmtId="0" fontId="13" fillId="0" borderId="0"/>
    <xf numFmtId="165" fontId="13" fillId="0" borderId="0" applyFont="0" applyFill="0" applyBorder="0" applyAlignment="0" applyProtection="0"/>
    <xf numFmtId="0" fontId="28" fillId="0" borderId="0"/>
    <xf numFmtId="0" fontId="29" fillId="0" borderId="0"/>
    <xf numFmtId="168" fontId="30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48" fillId="0" borderId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7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21" borderId="0" applyNumberFormat="0" applyBorder="0" applyAlignment="0" applyProtection="0"/>
    <xf numFmtId="0" fontId="16" fillId="22" borderId="0"/>
    <xf numFmtId="0" fontId="43" fillId="5" borderId="0" applyNumberFormat="0" applyBorder="0" applyAlignment="0" applyProtection="0"/>
    <xf numFmtId="0" fontId="35" fillId="23" borderId="4" applyNumberFormat="0" applyAlignment="0" applyProtection="0"/>
    <xf numFmtId="0" fontId="40" fillId="24" borderId="5" applyNumberFormat="0" applyAlignment="0" applyProtection="0"/>
    <xf numFmtId="0" fontId="44" fillId="0" borderId="0" applyNumberFormat="0" applyFill="0" applyBorder="0" applyAlignment="0" applyProtection="0"/>
    <xf numFmtId="0" fontId="47" fillId="6" borderId="0" applyNumberFormat="0" applyBorder="0" applyAlignment="0" applyProtection="0"/>
    <xf numFmtId="0" fontId="36" fillId="0" borderId="6" applyNumberFormat="0" applyFill="0" applyAlignment="0" applyProtection="0"/>
    <xf numFmtId="0" fontId="37" fillId="0" borderId="7" applyNumberFormat="0" applyFill="0" applyAlignment="0" applyProtection="0"/>
    <xf numFmtId="0" fontId="38" fillId="0" borderId="8" applyNumberFormat="0" applyFill="0" applyAlignment="0" applyProtection="0"/>
    <xf numFmtId="0" fontId="38" fillId="0" borderId="0" applyNumberFormat="0" applyFill="0" applyBorder="0" applyAlignment="0" applyProtection="0"/>
    <xf numFmtId="0" fontId="33" fillId="9" borderId="4" applyNumberFormat="0" applyAlignment="0" applyProtection="0"/>
    <xf numFmtId="0" fontId="45" fillId="0" borderId="9" applyNumberFormat="0" applyFill="0" applyAlignment="0" applyProtection="0"/>
    <xf numFmtId="0" fontId="42" fillId="2" borderId="0" applyNumberFormat="0" applyBorder="0" applyAlignment="0" applyProtection="0"/>
    <xf numFmtId="0" fontId="48" fillId="0" borderId="0"/>
    <xf numFmtId="0" fontId="16" fillId="22" borderId="10" applyNumberFormat="0" applyFont="0" applyAlignment="0" applyProtection="0"/>
    <xf numFmtId="0" fontId="34" fillId="23" borderId="11" applyNumberFormat="0" applyAlignment="0" applyProtection="0"/>
    <xf numFmtId="0" fontId="41" fillId="0" borderId="0" applyNumberFormat="0" applyFill="0" applyBorder="0" applyAlignment="0" applyProtection="0"/>
    <xf numFmtId="0" fontId="39" fillId="0" borderId="12" applyNumberFormat="0" applyFill="0" applyAlignment="0" applyProtection="0"/>
    <xf numFmtId="0" fontId="46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3" fillId="0" borderId="0"/>
    <xf numFmtId="0" fontId="13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48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/>
    <xf numFmtId="0" fontId="5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9" fillId="0" borderId="0"/>
    <xf numFmtId="0" fontId="51" fillId="4" borderId="0" applyNumberFormat="0" applyBorder="0" applyAlignment="0" applyProtection="0"/>
    <xf numFmtId="0" fontId="51" fillId="5" borderId="0" applyNumberFormat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51" fillId="12" borderId="0" applyNumberFormat="0" applyBorder="0" applyAlignment="0" applyProtection="0"/>
    <xf numFmtId="0" fontId="51" fillId="7" borderId="0" applyNumberFormat="0" applyBorder="0" applyAlignment="0" applyProtection="0"/>
    <xf numFmtId="0" fontId="51" fillId="10" borderId="0" applyNumberFormat="0" applyBorder="0" applyAlignment="0" applyProtection="0"/>
    <xf numFmtId="0" fontId="51" fillId="13" borderId="0" applyNumberFormat="0" applyBorder="0" applyAlignment="0" applyProtection="0"/>
    <xf numFmtId="0" fontId="29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7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1" borderId="0" applyNumberFormat="0" applyBorder="0" applyAlignment="0" applyProtection="0"/>
    <xf numFmtId="0" fontId="60" fillId="12" borderId="0" applyNumberFormat="0" applyBorder="0" applyAlignment="0" applyProtection="0"/>
    <xf numFmtId="0" fontId="60" fillId="15" borderId="0" applyNumberFormat="0" applyBorder="0" applyAlignment="0" applyProtection="0"/>
    <xf numFmtId="0" fontId="60" fillId="16" borderId="0" applyNumberFormat="0" applyBorder="0" applyAlignment="0" applyProtection="0"/>
    <xf numFmtId="0" fontId="60" fillId="17" borderId="0" applyNumberFormat="0" applyBorder="0" applyAlignment="0" applyProtection="0"/>
    <xf numFmtId="0" fontId="32" fillId="14" borderId="0" applyNumberFormat="0" applyBorder="0" applyAlignment="0" applyProtection="0"/>
    <xf numFmtId="0" fontId="3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60" fillId="18" borderId="0" applyNumberFormat="0" applyBorder="0" applyAlignment="0" applyProtection="0"/>
    <xf numFmtId="0" fontId="60" fillId="19" borderId="0" applyNumberFormat="0" applyBorder="0" applyAlignment="0" applyProtection="0"/>
    <xf numFmtId="0" fontId="60" fillId="20" borderId="0" applyNumberFormat="0" applyBorder="0" applyAlignment="0" applyProtection="0"/>
    <xf numFmtId="0" fontId="60" fillId="15" borderId="0" applyNumberFormat="0" applyBorder="0" applyAlignment="0" applyProtection="0"/>
    <xf numFmtId="0" fontId="60" fillId="16" borderId="0" applyNumberFormat="0" applyBorder="0" applyAlignment="0" applyProtection="0"/>
    <xf numFmtId="0" fontId="60" fillId="21" borderId="0" applyNumberFormat="0" applyBorder="0" applyAlignment="0" applyProtection="0"/>
    <xf numFmtId="0" fontId="61" fillId="23" borderId="11" applyNumberFormat="0" applyAlignment="0" applyProtection="0"/>
    <xf numFmtId="0" fontId="62" fillId="23" borderId="4" applyNumberFormat="0" applyAlignment="0" applyProtection="0"/>
    <xf numFmtId="176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0" fontId="63" fillId="9" borderId="4" applyNumberFormat="0" applyAlignment="0" applyProtection="0"/>
    <xf numFmtId="0" fontId="64" fillId="0" borderId="12" applyNumberFormat="0" applyFill="0" applyAlignment="0" applyProtection="0"/>
    <xf numFmtId="0" fontId="65" fillId="0" borderId="0" applyNumberForma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66" fillId="6" borderId="0" applyNumberFormat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2" fillId="0" borderId="0"/>
    <xf numFmtId="0" fontId="67" fillId="0" borderId="0" applyProtection="0"/>
    <xf numFmtId="0" fontId="52" fillId="0" borderId="0"/>
    <xf numFmtId="0" fontId="14" fillId="0" borderId="0"/>
    <xf numFmtId="0" fontId="13" fillId="22" borderId="10" applyNumberFormat="0" applyFont="0" applyAlignment="0" applyProtection="0"/>
    <xf numFmtId="0" fontId="13" fillId="22" borderId="10" applyNumberFormat="0" applyFont="0" applyAlignment="0" applyProtection="0"/>
    <xf numFmtId="4" fontId="18" fillId="25" borderId="11" applyNumberFormat="0" applyProtection="0">
      <alignment vertical="center"/>
    </xf>
    <xf numFmtId="4" fontId="53" fillId="25" borderId="11" applyNumberFormat="0" applyProtection="0">
      <alignment vertical="center"/>
    </xf>
    <xf numFmtId="4" fontId="18" fillId="25" borderId="11" applyNumberFormat="0" applyProtection="0">
      <alignment horizontal="left" vertical="center" indent="1"/>
    </xf>
    <xf numFmtId="4" fontId="18" fillId="25" borderId="11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4" fontId="18" fillId="27" borderId="11" applyNumberFormat="0" applyProtection="0">
      <alignment horizontal="right" vertical="center"/>
    </xf>
    <xf numFmtId="4" fontId="18" fillId="28" borderId="11" applyNumberFormat="0" applyProtection="0">
      <alignment horizontal="right" vertical="center"/>
    </xf>
    <xf numFmtId="4" fontId="18" fillId="29" borderId="11" applyNumberFormat="0" applyProtection="0">
      <alignment horizontal="right" vertical="center"/>
    </xf>
    <xf numFmtId="4" fontId="18" fillId="30" borderId="11" applyNumberFormat="0" applyProtection="0">
      <alignment horizontal="right" vertical="center"/>
    </xf>
    <xf numFmtId="4" fontId="18" fillId="31" borderId="11" applyNumberFormat="0" applyProtection="0">
      <alignment horizontal="right" vertical="center"/>
    </xf>
    <xf numFmtId="4" fontId="18" fillId="32" borderId="11" applyNumberFormat="0" applyProtection="0">
      <alignment horizontal="right" vertical="center"/>
    </xf>
    <xf numFmtId="4" fontId="18" fillId="33" borderId="11" applyNumberFormat="0" applyProtection="0">
      <alignment horizontal="right" vertical="center"/>
    </xf>
    <xf numFmtId="4" fontId="18" fillId="34" borderId="11" applyNumberFormat="0" applyProtection="0">
      <alignment horizontal="right" vertical="center"/>
    </xf>
    <xf numFmtId="4" fontId="18" fillId="35" borderId="11" applyNumberFormat="0" applyProtection="0">
      <alignment horizontal="right" vertical="center"/>
    </xf>
    <xf numFmtId="4" fontId="17" fillId="36" borderId="11" applyNumberFormat="0" applyProtection="0">
      <alignment horizontal="left" vertical="center" indent="1"/>
    </xf>
    <xf numFmtId="4" fontId="18" fillId="37" borderId="13" applyNumberFormat="0" applyProtection="0">
      <alignment horizontal="left" vertical="center" indent="1"/>
    </xf>
    <xf numFmtId="4" fontId="54" fillId="38" borderId="0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4" fontId="15" fillId="37" borderId="11" applyNumberFormat="0" applyProtection="0">
      <alignment horizontal="left" vertical="center" indent="1"/>
    </xf>
    <xf numFmtId="4" fontId="15" fillId="39" borderId="11" applyNumberFormat="0" applyProtection="0">
      <alignment horizontal="left" vertical="center" indent="1"/>
    </xf>
    <xf numFmtId="0" fontId="13" fillId="39" borderId="11" applyNumberFormat="0" applyProtection="0">
      <alignment horizontal="left" vertical="center" indent="1"/>
    </xf>
    <xf numFmtId="0" fontId="13" fillId="39" borderId="11" applyNumberFormat="0" applyProtection="0">
      <alignment horizontal="left" vertical="center" indent="1"/>
    </xf>
    <xf numFmtId="0" fontId="13" fillId="39" borderId="11" applyNumberFormat="0" applyProtection="0">
      <alignment horizontal="left" vertical="center" indent="1"/>
    </xf>
    <xf numFmtId="0" fontId="13" fillId="39" borderId="11" applyNumberFormat="0" applyProtection="0">
      <alignment horizontal="left" vertical="center" indent="1"/>
    </xf>
    <xf numFmtId="0" fontId="13" fillId="40" borderId="11" applyNumberFormat="0" applyProtection="0">
      <alignment horizontal="left" vertical="center" indent="1"/>
    </xf>
    <xf numFmtId="0" fontId="13" fillId="40" borderId="11" applyNumberFormat="0" applyProtection="0">
      <alignment horizontal="left" vertical="center" indent="1"/>
    </xf>
    <xf numFmtId="0" fontId="13" fillId="40" borderId="11" applyNumberFormat="0" applyProtection="0">
      <alignment horizontal="left" vertical="center" indent="1"/>
    </xf>
    <xf numFmtId="0" fontId="13" fillId="40" borderId="11" applyNumberFormat="0" applyProtection="0">
      <alignment horizontal="left" vertical="center" indent="1"/>
    </xf>
    <xf numFmtId="0" fontId="13" fillId="41" borderId="11" applyNumberFormat="0" applyProtection="0">
      <alignment horizontal="left" vertical="center" indent="1"/>
    </xf>
    <xf numFmtId="0" fontId="13" fillId="41" borderId="11" applyNumberFormat="0" applyProtection="0">
      <alignment horizontal="left" vertical="center" indent="1"/>
    </xf>
    <xf numFmtId="0" fontId="13" fillId="41" borderId="11" applyNumberFormat="0" applyProtection="0">
      <alignment horizontal="left" vertical="center" indent="1"/>
    </xf>
    <xf numFmtId="0" fontId="13" fillId="41" borderId="11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4" fontId="18" fillId="42" borderId="11" applyNumberFormat="0" applyProtection="0">
      <alignment vertical="center"/>
    </xf>
    <xf numFmtId="4" fontId="53" fillId="42" borderId="11" applyNumberFormat="0" applyProtection="0">
      <alignment vertical="center"/>
    </xf>
    <xf numFmtId="4" fontId="18" fillId="42" borderId="11" applyNumberFormat="0" applyProtection="0">
      <alignment horizontal="left" vertical="center" indent="1"/>
    </xf>
    <xf numFmtId="4" fontId="18" fillId="42" borderId="11" applyNumberFormat="0" applyProtection="0">
      <alignment horizontal="left" vertical="center" indent="1"/>
    </xf>
    <xf numFmtId="4" fontId="18" fillId="37" borderId="11" applyNumberFormat="0" applyProtection="0">
      <alignment horizontal="right" vertical="center"/>
    </xf>
    <xf numFmtId="4" fontId="53" fillId="37" borderId="11" applyNumberFormat="0" applyProtection="0">
      <alignment horizontal="right" vertical="center"/>
    </xf>
    <xf numFmtId="0" fontId="13" fillId="26" borderId="11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0" fontId="13" fillId="26" borderId="11" applyNumberFormat="0" applyProtection="0">
      <alignment horizontal="left" vertical="center" indent="1"/>
    </xf>
    <xf numFmtId="0" fontId="55" fillId="0" borderId="0"/>
    <xf numFmtId="4" fontId="56" fillId="37" borderId="11" applyNumberFormat="0" applyProtection="0">
      <alignment horizontal="right" vertical="center"/>
    </xf>
    <xf numFmtId="0" fontId="68" fillId="5" borderId="0" applyNumberFormat="0" applyBorder="0" applyAlignment="0" applyProtection="0"/>
    <xf numFmtId="0" fontId="69" fillId="0" borderId="0"/>
    <xf numFmtId="1" fontId="13" fillId="0" borderId="0"/>
    <xf numFmtId="0" fontId="70" fillId="0" borderId="0" applyNumberFormat="0" applyFill="0" applyBorder="0" applyAlignment="0" applyProtection="0"/>
    <xf numFmtId="0" fontId="71" fillId="0" borderId="6" applyNumberFormat="0" applyFill="0" applyAlignment="0" applyProtection="0"/>
    <xf numFmtId="0" fontId="72" fillId="0" borderId="7" applyNumberFormat="0" applyFill="0" applyAlignment="0" applyProtection="0"/>
    <xf numFmtId="0" fontId="73" fillId="0" borderId="8" applyNumberFormat="0" applyFill="0" applyAlignment="0" applyProtection="0"/>
    <xf numFmtId="0" fontId="73" fillId="0" borderId="0" applyNumberFormat="0" applyFill="0" applyBorder="0" applyAlignment="0" applyProtection="0"/>
    <xf numFmtId="172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0" fontId="74" fillId="0" borderId="9" applyNumberFormat="0" applyFill="0" applyAlignment="0" applyProtection="0"/>
    <xf numFmtId="0" fontId="75" fillId="0" borderId="0" applyNumberFormat="0" applyFill="0" applyBorder="0" applyAlignment="0" applyProtection="0"/>
    <xf numFmtId="0" fontId="76" fillId="24" borderId="5" applyNumberFormat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21" borderId="0" applyNumberFormat="0" applyBorder="0" applyAlignment="0" applyProtection="0"/>
    <xf numFmtId="0" fontId="33" fillId="9" borderId="4" applyNumberFormat="0" applyAlignment="0" applyProtection="0"/>
    <xf numFmtId="0" fontId="34" fillId="23" borderId="11" applyNumberFormat="0" applyAlignment="0" applyProtection="0"/>
    <xf numFmtId="0" fontId="35" fillId="23" borderId="4" applyNumberFormat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169" fontId="29" fillId="0" borderId="0" applyFont="0" applyFill="0" applyBorder="0" applyAlignment="0" applyProtection="0"/>
    <xf numFmtId="169" fontId="29" fillId="0" borderId="0" applyFont="0" applyFill="0" applyBorder="0" applyAlignment="0" applyProtection="0"/>
    <xf numFmtId="182" fontId="13" fillId="0" borderId="0" applyFont="0" applyFill="0" applyBorder="0" applyAlignment="0" applyProtection="0"/>
    <xf numFmtId="0" fontId="36" fillId="0" borderId="6" applyNumberFormat="0" applyFill="0" applyAlignment="0" applyProtection="0"/>
    <xf numFmtId="0" fontId="37" fillId="0" borderId="7" applyNumberFormat="0" applyFill="0" applyAlignment="0" applyProtection="0"/>
    <xf numFmtId="0" fontId="38" fillId="0" borderId="8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12" applyNumberFormat="0" applyFill="0" applyAlignment="0" applyProtection="0"/>
    <xf numFmtId="0" fontId="40" fillId="24" borderId="5" applyNumberFormat="0" applyAlignment="0" applyProtection="0"/>
    <xf numFmtId="0" fontId="41" fillId="0" borderId="0" applyNumberFormat="0" applyFill="0" applyBorder="0" applyAlignment="0" applyProtection="0"/>
    <xf numFmtId="0" fontId="42" fillId="2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9" fillId="0" borderId="0"/>
    <xf numFmtId="0" fontId="4" fillId="0" borderId="0"/>
    <xf numFmtId="0" fontId="5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7" fillId="0" borderId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7" fillId="0" borderId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29" fillId="0" borderId="0"/>
    <xf numFmtId="0" fontId="13" fillId="0" borderId="0"/>
    <xf numFmtId="0" fontId="13" fillId="0" borderId="0"/>
    <xf numFmtId="0" fontId="29" fillId="0" borderId="0"/>
    <xf numFmtId="0" fontId="27" fillId="0" borderId="0">
      <alignment horizontal="left"/>
    </xf>
    <xf numFmtId="0" fontId="29" fillId="0" borderId="0"/>
    <xf numFmtId="0" fontId="29" fillId="0" borderId="0"/>
    <xf numFmtId="0" fontId="16" fillId="0" borderId="0"/>
    <xf numFmtId="0" fontId="29" fillId="0" borderId="0"/>
    <xf numFmtId="0" fontId="16" fillId="0" borderId="0"/>
    <xf numFmtId="0" fontId="29" fillId="0" borderId="0"/>
    <xf numFmtId="0" fontId="29" fillId="0" borderId="0"/>
    <xf numFmtId="0" fontId="13" fillId="0" borderId="0"/>
    <xf numFmtId="0" fontId="13" fillId="0" borderId="0"/>
    <xf numFmtId="0" fontId="16" fillId="0" borderId="0"/>
    <xf numFmtId="0" fontId="27" fillId="0" borderId="0">
      <alignment horizontal="left"/>
    </xf>
    <xf numFmtId="0" fontId="29" fillId="0" borderId="0"/>
    <xf numFmtId="0" fontId="43" fillId="5" borderId="0" applyNumberFormat="0" applyBorder="0" applyAlignment="0" applyProtection="0"/>
    <xf numFmtId="0" fontId="44" fillId="0" borderId="0" applyNumberFormat="0" applyFill="0" applyBorder="0" applyAlignment="0" applyProtection="0"/>
    <xf numFmtId="0" fontId="16" fillId="22" borderId="10" applyNumberFormat="0" applyFont="0" applyAlignment="0" applyProtection="0"/>
    <xf numFmtId="0" fontId="16" fillId="22" borderId="10" applyNumberFormat="0" applyFont="0" applyAlignment="0" applyProtection="0"/>
    <xf numFmtId="0" fontId="13" fillId="22" borderId="10" applyNumberFormat="0" applyFont="0" applyAlignment="0" applyProtection="0"/>
    <xf numFmtId="0" fontId="13" fillId="22" borderId="10" applyNumberFormat="0" applyFont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5" fillId="0" borderId="9" applyNumberFormat="0" applyFill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50" fillId="0" borderId="0"/>
    <xf numFmtId="0" fontId="46" fillId="0" borderId="0" applyNumberFormat="0" applyFill="0" applyBorder="0" applyAlignment="0" applyProtection="0"/>
    <xf numFmtId="171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0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0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0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85" fontId="57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47" fillId="6" borderId="0" applyNumberFormat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81" fillId="0" borderId="0">
      <alignment vertical="center"/>
    </xf>
    <xf numFmtId="0" fontId="2" fillId="0" borderId="0"/>
    <xf numFmtId="0" fontId="14" fillId="0" borderId="0">
      <protection locked="0"/>
    </xf>
    <xf numFmtId="0" fontId="82" fillId="0" borderId="0">
      <alignment vertical="center"/>
    </xf>
    <xf numFmtId="0" fontId="1" fillId="0" borderId="0"/>
    <xf numFmtId="0" fontId="14" fillId="0" borderId="0"/>
    <xf numFmtId="0" fontId="1" fillId="0" borderId="0"/>
    <xf numFmtId="0" fontId="28" fillId="0" borderId="0"/>
  </cellStyleXfs>
  <cellXfs count="96">
    <xf numFmtId="0" fontId="0" fillId="0" borderId="0" xfId="0"/>
    <xf numFmtId="0" fontId="78" fillId="0" borderId="0" xfId="0" applyFont="1"/>
    <xf numFmtId="1" fontId="78" fillId="0" borderId="0" xfId="0" applyNumberFormat="1" applyFont="1"/>
    <xf numFmtId="0" fontId="78" fillId="0" borderId="0" xfId="0" applyFont="1" applyAlignment="1">
      <alignment horizontal="left" vertical="center"/>
    </xf>
    <xf numFmtId="4" fontId="79" fillId="44" borderId="2" xfId="0" applyNumberFormat="1" applyFont="1" applyFill="1" applyBorder="1" applyAlignment="1">
      <alignment horizontal="right" vertical="center" wrapText="1"/>
    </xf>
    <xf numFmtId="4" fontId="80" fillId="44" borderId="2" xfId="0" applyNumberFormat="1" applyFont="1" applyFill="1" applyBorder="1" applyAlignment="1">
      <alignment horizontal="right" vertical="center" wrapText="1"/>
    </xf>
    <xf numFmtId="4" fontId="13" fillId="0" borderId="2" xfId="0" applyNumberFormat="1" applyFont="1" applyBorder="1" applyAlignment="1">
      <alignment horizontal="right" vertical="center"/>
    </xf>
    <xf numFmtId="0" fontId="13" fillId="0" borderId="0" xfId="0" applyFont="1"/>
    <xf numFmtId="0" fontId="84" fillId="43" borderId="3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4" fontId="13" fillId="0" borderId="2" xfId="0" applyNumberFormat="1" applyFont="1" applyBorder="1" applyAlignment="1">
      <alignment horizontal="right"/>
    </xf>
    <xf numFmtId="4" fontId="13" fillId="0" borderId="2" xfId="0" applyNumberFormat="1" applyFont="1" applyBorder="1"/>
    <xf numFmtId="2" fontId="84" fillId="43" borderId="3" xfId="0" applyNumberFormat="1" applyFont="1" applyFill="1" applyBorder="1" applyAlignment="1">
      <alignment horizontal="center" vertical="center" wrapText="1"/>
    </xf>
    <xf numFmtId="4" fontId="86" fillId="43" borderId="3" xfId="0" applyNumberFormat="1" applyFont="1" applyFill="1" applyBorder="1" applyAlignment="1">
      <alignment horizontal="right" vertical="center" wrapText="1"/>
    </xf>
    <xf numFmtId="4" fontId="85" fillId="43" borderId="3" xfId="0" applyNumberFormat="1" applyFont="1" applyFill="1" applyBorder="1" applyAlignment="1">
      <alignment horizontal="right" vertical="center" wrapText="1"/>
    </xf>
    <xf numFmtId="49" fontId="13" fillId="46" borderId="2" xfId="6" applyNumberFormat="1" applyFont="1" applyFill="1" applyBorder="1"/>
    <xf numFmtId="49" fontId="87" fillId="0" borderId="2" xfId="6" applyNumberFormat="1" applyFont="1" applyBorder="1" applyAlignment="1">
      <alignment horizontal="right"/>
    </xf>
    <xf numFmtId="0" fontId="13" fillId="0" borderId="2" xfId="0" applyFont="1" applyBorder="1" applyAlignment="1">
      <alignment horizontal="right" vertical="center"/>
    </xf>
    <xf numFmtId="49" fontId="87" fillId="46" borderId="2" xfId="6" applyNumberFormat="1" applyFont="1" applyFill="1" applyBorder="1" applyAlignment="1">
      <alignment horizontal="right"/>
    </xf>
    <xf numFmtId="49" fontId="13" fillId="0" borderId="2" xfId="2" applyNumberFormat="1" applyFont="1" applyBorder="1"/>
    <xf numFmtId="0" fontId="13" fillId="0" borderId="2" xfId="2" applyFont="1" applyBorder="1"/>
    <xf numFmtId="49" fontId="13" fillId="0" borderId="2" xfId="0" applyNumberFormat="1" applyFont="1" applyBorder="1" applyAlignment="1">
      <alignment horizontal="left" vertical="center" wrapText="1"/>
    </xf>
    <xf numFmtId="2" fontId="13" fillId="0" borderId="2" xfId="2" applyNumberFormat="1" applyFont="1" applyBorder="1"/>
    <xf numFmtId="2" fontId="13" fillId="0" borderId="2" xfId="2" applyNumberFormat="1" applyFont="1" applyBorder="1" applyAlignment="1">
      <alignment horizontal="right"/>
    </xf>
    <xf numFmtId="2" fontId="13" fillId="0" borderId="2" xfId="0" applyNumberFormat="1" applyFont="1" applyBorder="1" applyAlignment="1">
      <alignment horizontal="right" vertical="center"/>
    </xf>
    <xf numFmtId="0" fontId="13" fillId="47" borderId="2" xfId="0" applyFont="1" applyFill="1" applyBorder="1" applyAlignment="1">
      <alignment horizontal="center" vertical="center"/>
    </xf>
    <xf numFmtId="9" fontId="15" fillId="47" borderId="2" xfId="0" applyNumberFormat="1" applyFont="1" applyFill="1" applyBorder="1" applyAlignment="1">
      <alignment horizontal="center"/>
    </xf>
    <xf numFmtId="0" fontId="15" fillId="47" borderId="2" xfId="0" applyFont="1" applyFill="1" applyBorder="1" applyAlignment="1">
      <alignment horizontal="center"/>
    </xf>
    <xf numFmtId="4" fontId="88" fillId="0" borderId="2" xfId="0" applyNumberFormat="1" applyFont="1" applyBorder="1" applyAlignment="1">
      <alignment horizontal="right" vertical="center"/>
    </xf>
    <xf numFmtId="0" fontId="88" fillId="47" borderId="2" xfId="0" applyFont="1" applyFill="1" applyBorder="1" applyAlignment="1">
      <alignment horizontal="center" vertical="center"/>
    </xf>
    <xf numFmtId="9" fontId="88" fillId="47" borderId="2" xfId="0" applyNumberFormat="1" applyFont="1" applyFill="1" applyBorder="1" applyAlignment="1">
      <alignment horizontal="center"/>
    </xf>
    <xf numFmtId="4" fontId="88" fillId="0" borderId="2" xfId="0" applyNumberFormat="1" applyFont="1" applyBorder="1" applyAlignment="1">
      <alignment horizontal="right"/>
    </xf>
    <xf numFmtId="4" fontId="88" fillId="0" borderId="2" xfId="0" applyNumberFormat="1" applyFont="1" applyBorder="1"/>
    <xf numFmtId="0" fontId="88" fillId="0" borderId="0" xfId="0" applyFont="1"/>
    <xf numFmtId="49" fontId="88" fillId="0" borderId="2" xfId="2" applyNumberFormat="1" applyFont="1" applyBorder="1"/>
    <xf numFmtId="4" fontId="89" fillId="0" borderId="2" xfId="0" applyNumberFormat="1" applyFont="1" applyBorder="1"/>
    <xf numFmtId="0" fontId="89" fillId="0" borderId="0" xfId="0" applyFont="1"/>
    <xf numFmtId="4" fontId="88" fillId="0" borderId="2" xfId="2" applyNumberFormat="1" applyFont="1" applyBorder="1"/>
    <xf numFmtId="0" fontId="88" fillId="47" borderId="2" xfId="0" applyFont="1" applyFill="1" applyBorder="1" applyAlignment="1">
      <alignment horizontal="center"/>
    </xf>
    <xf numFmtId="0" fontId="83" fillId="44" borderId="2" xfId="0" applyFont="1" applyFill="1" applyBorder="1" applyAlignment="1">
      <alignment horizontal="center" vertical="center" wrapText="1"/>
    </xf>
    <xf numFmtId="4" fontId="90" fillId="44" borderId="2" xfId="0" applyNumberFormat="1" applyFont="1" applyFill="1" applyBorder="1" applyAlignment="1">
      <alignment horizontal="center" vertical="center" wrapText="1"/>
    </xf>
    <xf numFmtId="0" fontId="83" fillId="45" borderId="2" xfId="0" applyFont="1" applyFill="1" applyBorder="1" applyAlignment="1">
      <alignment horizontal="center" vertical="center" wrapText="1"/>
    </xf>
    <xf numFmtId="0" fontId="91" fillId="0" borderId="0" xfId="0" applyFont="1"/>
    <xf numFmtId="0" fontId="54" fillId="44" borderId="2" xfId="0" applyFont="1" applyFill="1" applyBorder="1" applyAlignment="1">
      <alignment horizontal="center" vertical="center"/>
    </xf>
    <xf numFmtId="49" fontId="83" fillId="45" borderId="2" xfId="0" applyNumberFormat="1" applyFont="1" applyFill="1" applyBorder="1" applyAlignment="1">
      <alignment horizontal="center" vertical="center" wrapText="1"/>
    </xf>
    <xf numFmtId="0" fontId="83" fillId="44" borderId="2" xfId="0" applyFont="1" applyFill="1" applyBorder="1" applyAlignment="1">
      <alignment horizontal="center" vertical="center"/>
    </xf>
    <xf numFmtId="9" fontId="92" fillId="44" borderId="2" xfId="0" applyNumberFormat="1" applyFont="1" applyFill="1" applyBorder="1" applyAlignment="1">
      <alignment horizontal="center" vertical="center" wrapText="1"/>
    </xf>
    <xf numFmtId="0" fontId="88" fillId="0" borderId="2" xfId="2" applyFont="1" applyBorder="1"/>
    <xf numFmtId="2" fontId="88" fillId="0" borderId="2" xfId="2" applyNumberFormat="1" applyFont="1" applyBorder="1"/>
    <xf numFmtId="49" fontId="88" fillId="0" borderId="16" xfId="0" applyNumberFormat="1" applyFont="1" applyBorder="1" applyAlignment="1">
      <alignment horizontal="left"/>
    </xf>
    <xf numFmtId="49" fontId="88" fillId="0" borderId="17" xfId="0" applyNumberFormat="1" applyFont="1" applyBorder="1"/>
    <xf numFmtId="4" fontId="88" fillId="0" borderId="17" xfId="2" applyNumberFormat="1" applyFont="1" applyBorder="1" applyAlignment="1">
      <alignment horizontal="right"/>
    </xf>
    <xf numFmtId="49" fontId="93" fillId="0" borderId="2" xfId="0" applyNumberFormat="1" applyFont="1" applyBorder="1" applyAlignment="1">
      <alignment horizontal="left" vertical="center" wrapText="1"/>
    </xf>
    <xf numFmtId="0" fontId="93" fillId="0" borderId="2" xfId="0" applyFont="1" applyBorder="1" applyAlignment="1">
      <alignment horizontal="left" vertical="center" wrapText="1"/>
    </xf>
    <xf numFmtId="0" fontId="86" fillId="0" borderId="2" xfId="0" applyFont="1" applyBorder="1" applyAlignment="1">
      <alignment horizontal="left" vertical="center" wrapText="1"/>
    </xf>
    <xf numFmtId="0" fontId="86" fillId="0" borderId="2" xfId="0" applyFont="1" applyBorder="1"/>
    <xf numFmtId="49" fontId="88" fillId="0" borderId="2" xfId="2" applyNumberFormat="1" applyFont="1" applyBorder="1" applyAlignment="1">
      <alignment wrapText="1"/>
    </xf>
    <xf numFmtId="0" fontId="78" fillId="0" borderId="2" xfId="0" applyFont="1" applyBorder="1" applyAlignment="1">
      <alignment horizontal="left" vertical="center" wrapText="1"/>
    </xf>
    <xf numFmtId="4" fontId="78" fillId="0" borderId="2" xfId="0" applyNumberFormat="1" applyFont="1" applyBorder="1" applyAlignment="1">
      <alignment horizontal="right" vertical="center"/>
    </xf>
    <xf numFmtId="0" fontId="78" fillId="45" borderId="2" xfId="0" applyFont="1" applyFill="1" applyBorder="1" applyAlignment="1">
      <alignment horizontal="center" vertical="center"/>
    </xf>
    <xf numFmtId="9" fontId="95" fillId="44" borderId="2" xfId="0" applyNumberFormat="1" applyFont="1" applyFill="1" applyBorder="1" applyAlignment="1">
      <alignment horizontal="center"/>
    </xf>
    <xf numFmtId="4" fontId="78" fillId="0" borderId="2" xfId="0" applyNumberFormat="1" applyFont="1" applyBorder="1" applyAlignment="1">
      <alignment horizontal="right"/>
    </xf>
    <xf numFmtId="4" fontId="78" fillId="0" borderId="2" xfId="0" applyNumberFormat="1" applyFont="1" applyBorder="1"/>
    <xf numFmtId="0" fontId="78" fillId="0" borderId="2" xfId="0" applyFont="1" applyBorder="1" applyAlignment="1">
      <alignment horizontal="right" vertical="center"/>
    </xf>
    <xf numFmtId="0" fontId="12" fillId="0" borderId="0" xfId="0" applyFont="1"/>
    <xf numFmtId="49" fontId="99" fillId="0" borderId="2" xfId="0" applyNumberFormat="1" applyFont="1" applyBorder="1" applyAlignment="1">
      <alignment horizontal="left" vertical="center"/>
    </xf>
    <xf numFmtId="0" fontId="100" fillId="0" borderId="2" xfId="0" applyFont="1" applyBorder="1" applyAlignment="1">
      <alignment horizontal="left" vertical="center"/>
    </xf>
    <xf numFmtId="49" fontId="99" fillId="0" borderId="2" xfId="0" applyNumberFormat="1" applyFont="1" applyBorder="1" applyAlignment="1">
      <alignment horizontal="left" vertical="center" wrapText="1"/>
    </xf>
    <xf numFmtId="0" fontId="100" fillId="0" borderId="2" xfId="0" applyFont="1" applyBorder="1" applyAlignment="1">
      <alignment horizontal="left" vertical="center" wrapText="1"/>
    </xf>
    <xf numFmtId="2" fontId="78" fillId="0" borderId="2" xfId="0" applyNumberFormat="1" applyFont="1" applyBorder="1" applyAlignment="1">
      <alignment horizontal="right" vertical="center"/>
    </xf>
    <xf numFmtId="0" fontId="101" fillId="0" borderId="2" xfId="0" applyFont="1" applyBorder="1" applyAlignment="1">
      <alignment horizontal="left" vertical="center" wrapText="1"/>
    </xf>
    <xf numFmtId="0" fontId="102" fillId="0" borderId="2" xfId="0" applyFont="1" applyBorder="1" applyAlignment="1">
      <alignment horizontal="left" vertical="center"/>
    </xf>
    <xf numFmtId="49" fontId="87" fillId="46" borderId="2" xfId="6" applyNumberFormat="1" applyFont="1" applyFill="1" applyBorder="1" applyAlignment="1">
      <alignment horizontal="left"/>
    </xf>
    <xf numFmtId="49" fontId="103" fillId="46" borderId="2" xfId="6" applyNumberFormat="1" applyFont="1" applyFill="1" applyBorder="1" applyAlignment="1">
      <alignment horizontal="right"/>
    </xf>
    <xf numFmtId="0" fontId="79" fillId="0" borderId="2" xfId="0" applyFont="1" applyBorder="1" applyAlignment="1">
      <alignment horizontal="center"/>
    </xf>
    <xf numFmtId="0" fontId="94" fillId="48" borderId="18" xfId="0" applyFont="1" applyFill="1" applyBorder="1" applyAlignment="1">
      <alignment horizontal="left" vertical="center"/>
    </xf>
    <xf numFmtId="49" fontId="97" fillId="0" borderId="2" xfId="6" applyNumberFormat="1" applyFont="1" applyBorder="1" applyAlignment="1">
      <alignment horizontal="left" vertical="center"/>
    </xf>
    <xf numFmtId="49" fontId="104" fillId="46" borderId="2" xfId="6" applyNumberFormat="1" applyFont="1" applyFill="1" applyBorder="1" applyAlignment="1">
      <alignment horizontal="right" vertical="center"/>
    </xf>
    <xf numFmtId="0" fontId="100" fillId="0" borderId="2" xfId="0" applyFont="1" applyBorder="1"/>
    <xf numFmtId="49" fontId="105" fillId="0" borderId="2" xfId="0" applyNumberFormat="1" applyFont="1" applyBorder="1" applyAlignment="1">
      <alignment horizontal="left" vertical="center" wrapText="1"/>
    </xf>
    <xf numFmtId="0" fontId="106" fillId="0" borderId="2" xfId="0" applyFont="1" applyBorder="1" applyAlignment="1">
      <alignment horizontal="left" vertical="center" wrapText="1"/>
    </xf>
    <xf numFmtId="49" fontId="105" fillId="49" borderId="2" xfId="0" applyNumberFormat="1" applyFont="1" applyFill="1" applyBorder="1" applyAlignment="1">
      <alignment horizontal="left" vertical="center" wrapText="1"/>
    </xf>
    <xf numFmtId="2" fontId="98" fillId="43" borderId="3" xfId="0" applyNumberFormat="1" applyFont="1" applyFill="1" applyBorder="1" applyAlignment="1">
      <alignment horizontal="center" vertical="center" wrapText="1"/>
    </xf>
    <xf numFmtId="0" fontId="108" fillId="43" borderId="3" xfId="0" applyFont="1" applyFill="1" applyBorder="1" applyAlignment="1">
      <alignment horizontal="center" vertical="center" wrapText="1"/>
    </xf>
    <xf numFmtId="4" fontId="109" fillId="43" borderId="3" xfId="0" applyNumberFormat="1" applyFont="1" applyFill="1" applyBorder="1" applyAlignment="1">
      <alignment horizontal="right" vertical="center" wrapText="1"/>
    </xf>
    <xf numFmtId="4" fontId="110" fillId="43" borderId="3" xfId="0" applyNumberFormat="1" applyFont="1" applyFill="1" applyBorder="1" applyAlignment="1">
      <alignment horizontal="right" vertical="center" wrapText="1"/>
    </xf>
    <xf numFmtId="4" fontId="13" fillId="0" borderId="0" xfId="0" applyNumberFormat="1" applyFont="1"/>
    <xf numFmtId="0" fontId="113" fillId="0" borderId="0" xfId="0" applyFont="1"/>
    <xf numFmtId="4" fontId="84" fillId="43" borderId="14" xfId="0" applyNumberFormat="1" applyFont="1" applyFill="1" applyBorder="1" applyAlignment="1">
      <alignment horizontal="center" vertical="center" wrapText="1"/>
    </xf>
    <xf numFmtId="4" fontId="84" fillId="43" borderId="15" xfId="0" applyNumberFormat="1" applyFont="1" applyFill="1" applyBorder="1" applyAlignment="1">
      <alignment horizontal="center" vertical="center" wrapText="1"/>
    </xf>
    <xf numFmtId="0" fontId="54" fillId="44" borderId="2" xfId="0" applyFont="1" applyFill="1" applyBorder="1" applyAlignment="1">
      <alignment horizontal="center" vertical="center"/>
    </xf>
    <xf numFmtId="0" fontId="83" fillId="44" borderId="2" xfId="0" applyFont="1" applyFill="1" applyBorder="1" applyAlignment="1">
      <alignment horizontal="center" vertical="center" wrapText="1"/>
    </xf>
    <xf numFmtId="4" fontId="108" fillId="43" borderId="14" xfId="0" applyNumberFormat="1" applyFont="1" applyFill="1" applyBorder="1" applyAlignment="1">
      <alignment horizontal="center" vertical="center" wrapText="1"/>
    </xf>
    <xf numFmtId="4" fontId="108" fillId="43" borderId="15" xfId="0" applyNumberFormat="1" applyFont="1" applyFill="1" applyBorder="1" applyAlignment="1">
      <alignment horizontal="center" vertical="center" wrapText="1"/>
    </xf>
    <xf numFmtId="0" fontId="54" fillId="44" borderId="17" xfId="0" applyFont="1" applyFill="1" applyBorder="1" applyAlignment="1">
      <alignment horizontal="center" vertical="center"/>
    </xf>
    <xf numFmtId="0" fontId="54" fillId="44" borderId="3" xfId="0" applyFont="1" applyFill="1" applyBorder="1" applyAlignment="1">
      <alignment horizontal="center" vertical="center"/>
    </xf>
  </cellXfs>
  <cellStyles count="1971">
    <cellStyle name="_x000d__x000a_JournalTemplate=C:\COMFO\CTALK\JOURSTD.TPL_x000d__x000a_LbStateAddress=3 3 0 251 1 89 2 311_x000d__x000a_LbStateJou" xfId="1055" xr:uid="{00000000-0005-0000-0000-000000000000}"/>
    <cellStyle name="_x000d__x000a_JournalTemplate=C:\COMFO\CTALK\JOURSTD.TPL_x000d__x000a_LbStateAddress=3 3 0 251 1 89 2 311_x000d__x000a_LbStateJou 2" xfId="1054" xr:uid="{00000000-0005-0000-0000-000001000000}"/>
    <cellStyle name="_x000d__x000a_JournalTemplate=C:\COMFO\CTALK\JOURSTD.TPL_x000d__x000a_LbStateAddress=3 3 0 251 1 89 2 311_x000d__x000a_LbStateJou 3" xfId="1431" xr:uid="{00000000-0005-0000-0000-000002000000}"/>
    <cellStyle name="_x000d__x000a_JournalTemplate=C:\COMFO\CTALK\JOURSTD.TPL_x000d__x000a_LbStateAddress=3 3 0 251 1 89 2 311_x000d__x000a_LbStateJou_11.03.2014_ДКС Украины прейскурант дистрибьютора EURO" xfId="1432" xr:uid="{00000000-0005-0000-0000-000003000000}"/>
    <cellStyle name="_Accessory to tubes" xfId="1433" xr:uid="{00000000-0005-0000-0000-000004000000}"/>
    <cellStyle name="_DKCU_price-list_c230711" xfId="1040" xr:uid="{00000000-0005-0000-0000-000005000000}"/>
    <cellStyle name="_DKCU_price-list_c230711 2" xfId="1050" xr:uid="{00000000-0005-0000-0000-000006000000}"/>
    <cellStyle name="_DKCU_price-list_c230711_11.03.2014_ДКС Украины прейскурант дистрибьютора EURO" xfId="1434" xr:uid="{00000000-0005-0000-0000-000007000000}"/>
    <cellStyle name="_DKCU_price-list_c230711_ДКС Украины прейскурант дистрибьютора" xfId="1053" xr:uid="{00000000-0005-0000-0000-000008000000}"/>
    <cellStyle name="_DKCU_price-list_c230711_ДКС Украины прейскурант дистрибьютора 11 марта 2014" xfId="1435" xr:uid="{00000000-0005-0000-0000-000009000000}"/>
    <cellStyle name="_DKCU_price-list_c230711_ДКС Украины прейскурант дистрибьютора 24022014" xfId="1436" xr:uid="{00000000-0005-0000-0000-00000A000000}"/>
    <cellStyle name="_DKCU_price-list_c230711_ДКС Украины прейскурант дистрибьютора c 17.02.14 Дулов" xfId="1437" xr:uid="{00000000-0005-0000-0000-00000B000000}"/>
    <cellStyle name="_DKCU_price-list_c230711_ДКС Украины прейскурант дистрибьютора xx.xx.2014 новый" xfId="1438" xr:uid="{00000000-0005-0000-0000-00000C000000}"/>
    <cellStyle name="_DKCU_price-list_c230711_ДКС Украины прейскурант дистрибьютора от 29 марта" xfId="1056" xr:uid="{00000000-0005-0000-0000-00000D000000}"/>
    <cellStyle name="_DKCU_price-list_c230711_ДКС Украины прейскурант дистрибьютора1" xfId="1439" xr:uid="{00000000-0005-0000-0000-00000E000000}"/>
    <cellStyle name="_DKCU_price-list_c230711_Прайс HDZ, INOX, U5, Огнестойкие проходки 2013" xfId="1440" xr:uid="{00000000-0005-0000-0000-00000F000000}"/>
    <cellStyle name="_DKCU_price-list_c230711_Прайс по Автотрубе" xfId="1441" xr:uid="{00000000-0005-0000-0000-000010000000}"/>
    <cellStyle name="_DKCU_price-list_c230711_Прайс по Автотрубе 2" xfId="1442" xr:uid="{00000000-0005-0000-0000-000011000000}"/>
    <cellStyle name="_DKCU_price-list_c230711_Прайс по Автотрубе 3" xfId="1443" xr:uid="{00000000-0005-0000-0000-000012000000}"/>
    <cellStyle name="_DKCU_price-list_c230711_Прайс по Автотрубе 4" xfId="1444" xr:uid="{00000000-0005-0000-0000-000013000000}"/>
    <cellStyle name="_DKCU_price-list_c230711_Прайс по Автотрубе_11.03.2014_ДКС Украины прейскурант дистрибьютора EURO" xfId="1445" xr:uid="{00000000-0005-0000-0000-000014000000}"/>
    <cellStyle name="_DKCU_price-list_c230711_Прайс по Автотрубе_ДКС Украины прейскурант дистрибьютора" xfId="1446" xr:uid="{00000000-0005-0000-0000-000015000000}"/>
    <cellStyle name="_DKCU_price-list_c230711_Прайс по Автотрубе_ДКС Украины прейскурант дистрибьютора 11 марта 2014" xfId="1447" xr:uid="{00000000-0005-0000-0000-000016000000}"/>
    <cellStyle name="_DKCU_price-list_c230711_Прайс по Автотрубе_ДКС Украины прейскурант дистрибьютора xx.xx.2014 новый" xfId="1448" xr:uid="{00000000-0005-0000-0000-000017000000}"/>
    <cellStyle name="_PROGETTO3_LISTINO06 (инсет)" xfId="1449" xr:uid="{00000000-0005-0000-0000-000018000000}"/>
    <cellStyle name="_Россия DKC_price-list_01-02-2006" xfId="1450" xr:uid="{00000000-0005-0000-0000-000019000000}"/>
    <cellStyle name="_Россия DKC_price-list_01-02-2006_Flexel UA Price-list_020810" xfId="1451" xr:uid="{00000000-0005-0000-0000-00001A000000}"/>
    <cellStyle name="_Россия DKC_price-list_01-02-2006_Flexel UA Price-list_280909" xfId="1452" xr:uid="{00000000-0005-0000-0000-00001B000000}"/>
    <cellStyle name="_Россия DKC_price-list_01-02-2006_Изменение прайс-листа на пластиковые кабель-каналы" xfId="1453" xr:uid="{00000000-0005-0000-0000-00001C000000}"/>
    <cellStyle name="_Россия DKC_price-list_01-02-2006_ПРАЙС 2008  по квадро" xfId="1454" xr:uid="{00000000-0005-0000-0000-00001D000000}"/>
    <cellStyle name="_цены на кластера" xfId="1455" xr:uid="{00000000-0005-0000-0000-00001E000000}"/>
    <cellStyle name="20% - Accent1" xfId="1051" xr:uid="{00000000-0005-0000-0000-00001F000000}"/>
    <cellStyle name="20% - Accent2" xfId="1052" xr:uid="{00000000-0005-0000-0000-000020000000}"/>
    <cellStyle name="20% - Accent3" xfId="1057" xr:uid="{00000000-0005-0000-0000-000021000000}"/>
    <cellStyle name="20% - Accent4" xfId="1058" xr:uid="{00000000-0005-0000-0000-000022000000}"/>
    <cellStyle name="20% - Accent5" xfId="1059" xr:uid="{00000000-0005-0000-0000-000023000000}"/>
    <cellStyle name="20% - Accent6" xfId="1060" xr:uid="{00000000-0005-0000-0000-000024000000}"/>
    <cellStyle name="20% - Akzent1" xfId="1456" xr:uid="{00000000-0005-0000-0000-000025000000}"/>
    <cellStyle name="20% - Akzent2" xfId="1457" xr:uid="{00000000-0005-0000-0000-000026000000}"/>
    <cellStyle name="20% - Akzent3" xfId="1458" xr:uid="{00000000-0005-0000-0000-000027000000}"/>
    <cellStyle name="20% - Akzent4" xfId="1459" xr:uid="{00000000-0005-0000-0000-000028000000}"/>
    <cellStyle name="20% - Akzent5" xfId="1460" xr:uid="{00000000-0005-0000-0000-000029000000}"/>
    <cellStyle name="20% - Akzent6" xfId="1461" xr:uid="{00000000-0005-0000-0000-00002A000000}"/>
    <cellStyle name="20% - Акцент1 2" xfId="1462" xr:uid="{00000000-0005-0000-0000-00002B000000}"/>
    <cellStyle name="20% - Акцент2 2" xfId="1463" xr:uid="{00000000-0005-0000-0000-00002C000000}"/>
    <cellStyle name="20% - Акцент3 2" xfId="1464" xr:uid="{00000000-0005-0000-0000-00002D000000}"/>
    <cellStyle name="20% - Акцент4 2" xfId="1465" xr:uid="{00000000-0005-0000-0000-00002E000000}"/>
    <cellStyle name="20% - Акцент5 2" xfId="1466" xr:uid="{00000000-0005-0000-0000-00002F000000}"/>
    <cellStyle name="20% - Акцент6 2" xfId="1467" xr:uid="{00000000-0005-0000-0000-000030000000}"/>
    <cellStyle name="40% - Accent1" xfId="1061" xr:uid="{00000000-0005-0000-0000-000031000000}"/>
    <cellStyle name="40% - Accent2" xfId="1062" xr:uid="{00000000-0005-0000-0000-000032000000}"/>
    <cellStyle name="40% - Accent3" xfId="1063" xr:uid="{00000000-0005-0000-0000-000033000000}"/>
    <cellStyle name="40% - Accent4" xfId="1064" xr:uid="{00000000-0005-0000-0000-000034000000}"/>
    <cellStyle name="40% - Accent5" xfId="1065" xr:uid="{00000000-0005-0000-0000-000035000000}"/>
    <cellStyle name="40% - Accent6" xfId="1066" xr:uid="{00000000-0005-0000-0000-000036000000}"/>
    <cellStyle name="40% - Akzent1" xfId="1468" xr:uid="{00000000-0005-0000-0000-000037000000}"/>
    <cellStyle name="40% - Akzent2" xfId="1469" xr:uid="{00000000-0005-0000-0000-000038000000}"/>
    <cellStyle name="40% - Akzent3" xfId="1470" xr:uid="{00000000-0005-0000-0000-000039000000}"/>
    <cellStyle name="40% - Akzent4" xfId="1471" xr:uid="{00000000-0005-0000-0000-00003A000000}"/>
    <cellStyle name="40% - Akzent5" xfId="1472" xr:uid="{00000000-0005-0000-0000-00003B000000}"/>
    <cellStyle name="40% - Akzent6" xfId="1473" xr:uid="{00000000-0005-0000-0000-00003C000000}"/>
    <cellStyle name="40% - Акцент1 2" xfId="1474" xr:uid="{00000000-0005-0000-0000-00003D000000}"/>
    <cellStyle name="40% - Акцент2 2" xfId="1475" xr:uid="{00000000-0005-0000-0000-00003E000000}"/>
    <cellStyle name="40% - Акцент3 2" xfId="1476" xr:uid="{00000000-0005-0000-0000-00003F000000}"/>
    <cellStyle name="40% - Акцент4 2" xfId="1477" xr:uid="{00000000-0005-0000-0000-000040000000}"/>
    <cellStyle name="40% - Акцент5 2" xfId="1478" xr:uid="{00000000-0005-0000-0000-000041000000}"/>
    <cellStyle name="40% - Акцент6 2" xfId="1479" xr:uid="{00000000-0005-0000-0000-000042000000}"/>
    <cellStyle name="60% - Accent1" xfId="1067" xr:uid="{00000000-0005-0000-0000-000043000000}"/>
    <cellStyle name="60% - Accent2" xfId="1068" xr:uid="{00000000-0005-0000-0000-000044000000}"/>
    <cellStyle name="60% - Accent3" xfId="1069" xr:uid="{00000000-0005-0000-0000-000045000000}"/>
    <cellStyle name="60% - Accent4" xfId="1070" xr:uid="{00000000-0005-0000-0000-000046000000}"/>
    <cellStyle name="60% - Accent5" xfId="1071" xr:uid="{00000000-0005-0000-0000-000047000000}"/>
    <cellStyle name="60% - Accent6" xfId="1072" xr:uid="{00000000-0005-0000-0000-000048000000}"/>
    <cellStyle name="60% - Akzent1" xfId="1480" xr:uid="{00000000-0005-0000-0000-000049000000}"/>
    <cellStyle name="60% - Akzent2" xfId="1481" xr:uid="{00000000-0005-0000-0000-00004A000000}"/>
    <cellStyle name="60% - Akzent3" xfId="1482" xr:uid="{00000000-0005-0000-0000-00004B000000}"/>
    <cellStyle name="60% - Akzent4" xfId="1483" xr:uid="{00000000-0005-0000-0000-00004C000000}"/>
    <cellStyle name="60% - Akzent5" xfId="1484" xr:uid="{00000000-0005-0000-0000-00004D000000}"/>
    <cellStyle name="60% - Akzent6" xfId="1485" xr:uid="{00000000-0005-0000-0000-00004E000000}"/>
    <cellStyle name="60% - Акцент1 2" xfId="1486" xr:uid="{00000000-0005-0000-0000-00004F000000}"/>
    <cellStyle name="60% - Акцент2 2" xfId="1487" xr:uid="{00000000-0005-0000-0000-000050000000}"/>
    <cellStyle name="60% - Акцент3 2" xfId="1488" xr:uid="{00000000-0005-0000-0000-000051000000}"/>
    <cellStyle name="60% - Акцент4 2" xfId="1489" xr:uid="{00000000-0005-0000-0000-000052000000}"/>
    <cellStyle name="60% - Акцент5 2" xfId="1490" xr:uid="{00000000-0005-0000-0000-000053000000}"/>
    <cellStyle name="60% - Акцент6 2" xfId="1491" xr:uid="{00000000-0005-0000-0000-000054000000}"/>
    <cellStyle name="Accent1" xfId="1073" xr:uid="{00000000-0005-0000-0000-000055000000}"/>
    <cellStyle name="Accent2" xfId="1074" xr:uid="{00000000-0005-0000-0000-000056000000}"/>
    <cellStyle name="Accent3" xfId="1075" xr:uid="{00000000-0005-0000-0000-000057000000}"/>
    <cellStyle name="Accent4" xfId="1076" xr:uid="{00000000-0005-0000-0000-000058000000}"/>
    <cellStyle name="Accent5" xfId="1077" xr:uid="{00000000-0005-0000-0000-000059000000}"/>
    <cellStyle name="Accent6" xfId="1078" xr:uid="{00000000-0005-0000-0000-00005A000000}"/>
    <cellStyle name="Akzent1" xfId="1492" xr:uid="{00000000-0005-0000-0000-00005B000000}"/>
    <cellStyle name="Akzent2" xfId="1493" xr:uid="{00000000-0005-0000-0000-00005C000000}"/>
    <cellStyle name="Akzent3" xfId="1494" xr:uid="{00000000-0005-0000-0000-00005D000000}"/>
    <cellStyle name="Akzent4" xfId="1495" xr:uid="{00000000-0005-0000-0000-00005E000000}"/>
    <cellStyle name="Akzent5" xfId="1496" xr:uid="{00000000-0005-0000-0000-00005F000000}"/>
    <cellStyle name="Akzent6" xfId="1497" xr:uid="{00000000-0005-0000-0000-000060000000}"/>
    <cellStyle name="Ausgabe" xfId="1498" xr:uid="{00000000-0005-0000-0000-000061000000}"/>
    <cellStyle name="AXAPTA_Mandatory" xfId="1079" xr:uid="{00000000-0005-0000-0000-000062000000}"/>
    <cellStyle name="Bad" xfId="1080" xr:uid="{00000000-0005-0000-0000-000063000000}"/>
    <cellStyle name="Berechnung" xfId="1499" xr:uid="{00000000-0005-0000-0000-000064000000}"/>
    <cellStyle name="blokcen" xfId="1" xr:uid="{00000000-0005-0000-0000-000065000000}"/>
    <cellStyle name="Calculation" xfId="1081" xr:uid="{00000000-0005-0000-0000-000066000000}"/>
    <cellStyle name="Check Cell" xfId="1082" xr:uid="{00000000-0005-0000-0000-000067000000}"/>
    <cellStyle name="Comma [0]_BATPRICE" xfId="1500" xr:uid="{00000000-0005-0000-0000-000068000000}"/>
    <cellStyle name="Comma 2" xfId="804" xr:uid="{00000000-0005-0000-0000-000069000000}"/>
    <cellStyle name="Comma 2 2" xfId="1961" xr:uid="{00000000-0005-0000-0000-00006A000000}"/>
    <cellStyle name="Comma_BATPRICE" xfId="1501" xr:uid="{00000000-0005-0000-0000-00006B000000}"/>
    <cellStyle name="Currency [0]_BATPRICE" xfId="1502" xr:uid="{00000000-0005-0000-0000-00006C000000}"/>
    <cellStyle name="Currency_BATPRICE" xfId="1503" xr:uid="{00000000-0005-0000-0000-00006D000000}"/>
    <cellStyle name="Eingabe" xfId="1504" xr:uid="{00000000-0005-0000-0000-00006E000000}"/>
    <cellStyle name="Ergebnis" xfId="1505" xr:uid="{00000000-0005-0000-0000-00006F000000}"/>
    <cellStyle name="Erklärender Text" xfId="1506" xr:uid="{00000000-0005-0000-0000-000070000000}"/>
    <cellStyle name="Euro" xfId="1507" xr:uid="{00000000-0005-0000-0000-000071000000}"/>
    <cellStyle name="Euro 2" xfId="1508" xr:uid="{00000000-0005-0000-0000-000072000000}"/>
    <cellStyle name="Excel Built-in Normal" xfId="2" xr:uid="{00000000-0005-0000-0000-000073000000}"/>
    <cellStyle name="Explanatory Text" xfId="1083" xr:uid="{00000000-0005-0000-0000-000074000000}"/>
    <cellStyle name="Good" xfId="1084" xr:uid="{00000000-0005-0000-0000-000075000000}"/>
    <cellStyle name="Gut" xfId="1509" xr:uid="{00000000-0005-0000-0000-000076000000}"/>
    <cellStyle name="Heading 1" xfId="1085" xr:uid="{00000000-0005-0000-0000-000077000000}"/>
    <cellStyle name="Heading 2" xfId="1086" xr:uid="{00000000-0005-0000-0000-000078000000}"/>
    <cellStyle name="Heading 3" xfId="1087" xr:uid="{00000000-0005-0000-0000-000079000000}"/>
    <cellStyle name="Heading 4" xfId="1088" xr:uid="{00000000-0005-0000-0000-00007A000000}"/>
    <cellStyle name="Input" xfId="1089" xr:uid="{00000000-0005-0000-0000-00007B000000}"/>
    <cellStyle name="Linked Cell" xfId="1090" xr:uid="{00000000-0005-0000-0000-00007C000000}"/>
    <cellStyle name="Migliaia (0)_Foglio1" xfId="1510" xr:uid="{00000000-0005-0000-0000-00007D000000}"/>
    <cellStyle name="Migliaia_Foglio1" xfId="1511" xr:uid="{00000000-0005-0000-0000-00007E000000}"/>
    <cellStyle name="Milliers 5" xfId="925" xr:uid="{00000000-0005-0000-0000-00007F000000}"/>
    <cellStyle name="nazev_skup" xfId="3" xr:uid="{00000000-0005-0000-0000-000080000000}"/>
    <cellStyle name="Neutral" xfId="1091" xr:uid="{00000000-0005-0000-0000-000081000000}"/>
    <cellStyle name="Normal 10" xfId="921" xr:uid="{00000000-0005-0000-0000-000082000000}"/>
    <cellStyle name="Normal 2" xfId="800" xr:uid="{00000000-0005-0000-0000-000083000000}"/>
    <cellStyle name="Normal 2 2" xfId="805" xr:uid="{00000000-0005-0000-0000-000084000000}"/>
    <cellStyle name="Normal 2 3" xfId="920" xr:uid="{00000000-0005-0000-0000-000085000000}"/>
    <cellStyle name="Normal 2 4" xfId="1959" xr:uid="{00000000-0005-0000-0000-000086000000}"/>
    <cellStyle name="Normal 3" xfId="803" xr:uid="{00000000-0005-0000-0000-000087000000}"/>
    <cellStyle name="Normal 3 2" xfId="1960" xr:uid="{00000000-0005-0000-0000-000088000000}"/>
    <cellStyle name="Normal 8" xfId="806" xr:uid="{00000000-0005-0000-0000-000089000000}"/>
    <cellStyle name="Normal 8 2" xfId="926" xr:uid="{00000000-0005-0000-0000-00008A000000}"/>
    <cellStyle name="Normal 8 3" xfId="1039" xr:uid="{00000000-0005-0000-0000-00008B000000}"/>
    <cellStyle name="Normal 8 4" xfId="1962" xr:uid="{00000000-0005-0000-0000-00008C000000}"/>
    <cellStyle name="Normal 8 5" xfId="1964" xr:uid="{00000000-0005-0000-0000-00008D000000}"/>
    <cellStyle name="Normal 8 6" xfId="1967" xr:uid="{00000000-0005-0000-0000-00008E000000}"/>
    <cellStyle name="Normal_BATPRICE" xfId="1512" xr:uid="{00000000-0005-0000-0000-00008F000000}"/>
    <cellStyle name="Normale_Foglio1" xfId="1092" xr:uid="{00000000-0005-0000-0000-000090000000}"/>
    <cellStyle name="normální_List2" xfId="1513" xr:uid="{00000000-0005-0000-0000-000091000000}"/>
    <cellStyle name="Normalny_COMRANGE" xfId="1514" xr:uid="{00000000-0005-0000-0000-000092000000}"/>
    <cellStyle name="normбlnн_laroux" xfId="1515" xr:uid="{00000000-0005-0000-0000-000093000000}"/>
    <cellStyle name="Note" xfId="1093" xr:uid="{00000000-0005-0000-0000-000094000000}"/>
    <cellStyle name="Notiz" xfId="1516" xr:uid="{00000000-0005-0000-0000-000095000000}"/>
    <cellStyle name="Notiz 2" xfId="1517" xr:uid="{00000000-0005-0000-0000-000096000000}"/>
    <cellStyle name="Output" xfId="1094" xr:uid="{00000000-0005-0000-0000-000097000000}"/>
    <cellStyle name="SAPBEXaggData" xfId="4" xr:uid="{00000000-0005-0000-0000-000098000000}"/>
    <cellStyle name="SAPBEXaggData 2" xfId="1518" xr:uid="{00000000-0005-0000-0000-000099000000}"/>
    <cellStyle name="SAPBEXaggDataEmph" xfId="1519" xr:uid="{00000000-0005-0000-0000-00009A000000}"/>
    <cellStyle name="SAPBEXaggItem" xfId="1520" xr:uid="{00000000-0005-0000-0000-00009B000000}"/>
    <cellStyle name="SAPBEXaggItemX" xfId="1521" xr:uid="{00000000-0005-0000-0000-00009C000000}"/>
    <cellStyle name="SAPBEXchaText" xfId="1522" xr:uid="{00000000-0005-0000-0000-00009D000000}"/>
    <cellStyle name="SAPBEXchaText 2" xfId="1523" xr:uid="{00000000-0005-0000-0000-00009E000000}"/>
    <cellStyle name="SAPBEXexcBad7" xfId="1524" xr:uid="{00000000-0005-0000-0000-00009F000000}"/>
    <cellStyle name="SAPBEXexcBad8" xfId="1525" xr:uid="{00000000-0005-0000-0000-0000A0000000}"/>
    <cellStyle name="SAPBEXexcBad9" xfId="1526" xr:uid="{00000000-0005-0000-0000-0000A1000000}"/>
    <cellStyle name="SAPBEXexcCritical4" xfId="1527" xr:uid="{00000000-0005-0000-0000-0000A2000000}"/>
    <cellStyle name="SAPBEXexcCritical5" xfId="1528" xr:uid="{00000000-0005-0000-0000-0000A3000000}"/>
    <cellStyle name="SAPBEXexcCritical6" xfId="1529" xr:uid="{00000000-0005-0000-0000-0000A4000000}"/>
    <cellStyle name="SAPBEXexcGood1" xfId="1530" xr:uid="{00000000-0005-0000-0000-0000A5000000}"/>
    <cellStyle name="SAPBEXexcGood2" xfId="1531" xr:uid="{00000000-0005-0000-0000-0000A6000000}"/>
    <cellStyle name="SAPBEXexcGood3" xfId="1532" xr:uid="{00000000-0005-0000-0000-0000A7000000}"/>
    <cellStyle name="SAPBEXfilterDrill" xfId="1533" xr:uid="{00000000-0005-0000-0000-0000A8000000}"/>
    <cellStyle name="SAPBEXfilterItem" xfId="1534" xr:uid="{00000000-0005-0000-0000-0000A9000000}"/>
    <cellStyle name="SAPBEXfilterText" xfId="1535" xr:uid="{00000000-0005-0000-0000-0000AA000000}"/>
    <cellStyle name="SAPBEXformats" xfId="1536" xr:uid="{00000000-0005-0000-0000-0000AB000000}"/>
    <cellStyle name="SAPBEXformats 2" xfId="1537" xr:uid="{00000000-0005-0000-0000-0000AC000000}"/>
    <cellStyle name="SAPBEXheaderItem" xfId="1538" xr:uid="{00000000-0005-0000-0000-0000AD000000}"/>
    <cellStyle name="SAPBEXheaderText" xfId="1539" xr:uid="{00000000-0005-0000-0000-0000AE000000}"/>
    <cellStyle name="SAPBEXHLevel0" xfId="1540" xr:uid="{00000000-0005-0000-0000-0000AF000000}"/>
    <cellStyle name="SAPBEXHLevel0 2" xfId="1541" xr:uid="{00000000-0005-0000-0000-0000B0000000}"/>
    <cellStyle name="SAPBEXHLevel0X" xfId="1542" xr:uid="{00000000-0005-0000-0000-0000B1000000}"/>
    <cellStyle name="SAPBEXHLevel0X 2" xfId="1543" xr:uid="{00000000-0005-0000-0000-0000B2000000}"/>
    <cellStyle name="SAPBEXHLevel1" xfId="1544" xr:uid="{00000000-0005-0000-0000-0000B3000000}"/>
    <cellStyle name="SAPBEXHLevel1 2" xfId="1545" xr:uid="{00000000-0005-0000-0000-0000B4000000}"/>
    <cellStyle name="SAPBEXHLevel1X" xfId="1546" xr:uid="{00000000-0005-0000-0000-0000B5000000}"/>
    <cellStyle name="SAPBEXHLevel1X 2" xfId="1547" xr:uid="{00000000-0005-0000-0000-0000B6000000}"/>
    <cellStyle name="SAPBEXHLevel2" xfId="1548" xr:uid="{00000000-0005-0000-0000-0000B7000000}"/>
    <cellStyle name="SAPBEXHLevel2 2" xfId="1549" xr:uid="{00000000-0005-0000-0000-0000B8000000}"/>
    <cellStyle name="SAPBEXHLevel2X" xfId="1550" xr:uid="{00000000-0005-0000-0000-0000B9000000}"/>
    <cellStyle name="SAPBEXHLevel2X 2" xfId="1551" xr:uid="{00000000-0005-0000-0000-0000BA000000}"/>
    <cellStyle name="SAPBEXHLevel3" xfId="1552" xr:uid="{00000000-0005-0000-0000-0000BB000000}"/>
    <cellStyle name="SAPBEXHLevel3 2" xfId="1553" xr:uid="{00000000-0005-0000-0000-0000BC000000}"/>
    <cellStyle name="SAPBEXHLevel3X" xfId="1554" xr:uid="{00000000-0005-0000-0000-0000BD000000}"/>
    <cellStyle name="SAPBEXHLevel3X 2" xfId="1555" xr:uid="{00000000-0005-0000-0000-0000BE000000}"/>
    <cellStyle name="SAPBEXresData" xfId="1556" xr:uid="{00000000-0005-0000-0000-0000BF000000}"/>
    <cellStyle name="SAPBEXresDataEmph" xfId="1557" xr:uid="{00000000-0005-0000-0000-0000C0000000}"/>
    <cellStyle name="SAPBEXresItem" xfId="1558" xr:uid="{00000000-0005-0000-0000-0000C1000000}"/>
    <cellStyle name="SAPBEXresItemX" xfId="1559" xr:uid="{00000000-0005-0000-0000-0000C2000000}"/>
    <cellStyle name="SAPBEXstdData" xfId="1560" xr:uid="{00000000-0005-0000-0000-0000C3000000}"/>
    <cellStyle name="SAPBEXstdDataEmph" xfId="1561" xr:uid="{00000000-0005-0000-0000-0000C4000000}"/>
    <cellStyle name="SAPBEXstdItem" xfId="5" xr:uid="{00000000-0005-0000-0000-0000C5000000}"/>
    <cellStyle name="SAPBEXstdItem 2" xfId="1563" xr:uid="{00000000-0005-0000-0000-0000C6000000}"/>
    <cellStyle name="SAPBEXstdItem 3" xfId="1562" xr:uid="{00000000-0005-0000-0000-0000C7000000}"/>
    <cellStyle name="SAPBEXstdItemX" xfId="1564" xr:uid="{00000000-0005-0000-0000-0000C8000000}"/>
    <cellStyle name="SAPBEXstdItemX 2" xfId="1565" xr:uid="{00000000-0005-0000-0000-0000C9000000}"/>
    <cellStyle name="SAPBEXtitle" xfId="1566" xr:uid="{00000000-0005-0000-0000-0000CA000000}"/>
    <cellStyle name="SAPBEXundefined" xfId="1567" xr:uid="{00000000-0005-0000-0000-0000CB000000}"/>
    <cellStyle name="Schlecht" xfId="1568" xr:uid="{00000000-0005-0000-0000-0000CC000000}"/>
    <cellStyle name="Standaard_Blad1_3" xfId="1569" xr:uid="{00000000-0005-0000-0000-0000CD000000}"/>
    <cellStyle name="Standard_Grundpreise gerundet" xfId="1570" xr:uid="{00000000-0005-0000-0000-0000CE000000}"/>
    <cellStyle name="Style 1" xfId="6" xr:uid="{00000000-0005-0000-0000-0000CF000000}"/>
    <cellStyle name="Style 1 2" xfId="1965" xr:uid="{00000000-0005-0000-0000-0000D0000000}"/>
    <cellStyle name="Style 1 3" xfId="1968" xr:uid="{00000000-0005-0000-0000-0000D1000000}"/>
    <cellStyle name="Title" xfId="1095" xr:uid="{00000000-0005-0000-0000-0000D2000000}"/>
    <cellStyle name="Total" xfId="1096" xr:uid="{00000000-0005-0000-0000-0000D3000000}"/>
    <cellStyle name="Überschrift" xfId="1571" xr:uid="{00000000-0005-0000-0000-0000D4000000}"/>
    <cellStyle name="Überschrift 1" xfId="1572" xr:uid="{00000000-0005-0000-0000-0000D5000000}"/>
    <cellStyle name="Überschrift 2" xfId="1573" xr:uid="{00000000-0005-0000-0000-0000D6000000}"/>
    <cellStyle name="Überschrift 3" xfId="1574" xr:uid="{00000000-0005-0000-0000-0000D7000000}"/>
    <cellStyle name="Überschrift 4" xfId="1575" xr:uid="{00000000-0005-0000-0000-0000D8000000}"/>
    <cellStyle name="Valuta (0)_Foglio1" xfId="1576" xr:uid="{00000000-0005-0000-0000-0000D9000000}"/>
    <cellStyle name="Valuta_Foglio1" xfId="1577" xr:uid="{00000000-0005-0000-0000-0000DA000000}"/>
    <cellStyle name="Verknüpfte Zelle" xfId="1578" xr:uid="{00000000-0005-0000-0000-0000DB000000}"/>
    <cellStyle name="Warnender Text" xfId="1579" xr:uid="{00000000-0005-0000-0000-0000DC000000}"/>
    <cellStyle name="Warning Text" xfId="1097" xr:uid="{00000000-0005-0000-0000-0000DD000000}"/>
    <cellStyle name="Zelle überprüfen" xfId="1580" xr:uid="{00000000-0005-0000-0000-0000DE000000}"/>
    <cellStyle name="Акцент1 2" xfId="1581" xr:uid="{00000000-0005-0000-0000-0000DF000000}"/>
    <cellStyle name="Акцент2 2" xfId="1582" xr:uid="{00000000-0005-0000-0000-0000E0000000}"/>
    <cellStyle name="Акцент3 2" xfId="1583" xr:uid="{00000000-0005-0000-0000-0000E1000000}"/>
    <cellStyle name="Акцент4 2" xfId="1584" xr:uid="{00000000-0005-0000-0000-0000E2000000}"/>
    <cellStyle name="Акцент5 2" xfId="1585" xr:uid="{00000000-0005-0000-0000-0000E3000000}"/>
    <cellStyle name="Акцент6 2" xfId="1586" xr:uid="{00000000-0005-0000-0000-0000E4000000}"/>
    <cellStyle name="Ввод  2" xfId="1587" xr:uid="{00000000-0005-0000-0000-0000E5000000}"/>
    <cellStyle name="Вывод 2" xfId="1588" xr:uid="{00000000-0005-0000-0000-0000E6000000}"/>
    <cellStyle name="Вычисление 2" xfId="1589" xr:uid="{00000000-0005-0000-0000-0000E7000000}"/>
    <cellStyle name="Гиперссылка 10" xfId="1098" xr:uid="{00000000-0005-0000-0000-0000E8000000}"/>
    <cellStyle name="Гиперссылка 11" xfId="1099" xr:uid="{00000000-0005-0000-0000-0000E9000000}"/>
    <cellStyle name="Гиперссылка 12" xfId="1100" xr:uid="{00000000-0005-0000-0000-0000EA000000}"/>
    <cellStyle name="Гиперссылка 13" xfId="1101" xr:uid="{00000000-0005-0000-0000-0000EB000000}"/>
    <cellStyle name="Гиперссылка 14" xfId="1102" xr:uid="{00000000-0005-0000-0000-0000EC000000}"/>
    <cellStyle name="Гиперссылка 15" xfId="1103" xr:uid="{00000000-0005-0000-0000-0000ED000000}"/>
    <cellStyle name="Гиперссылка 16" xfId="1104" xr:uid="{00000000-0005-0000-0000-0000EE000000}"/>
    <cellStyle name="Гиперссылка 17" xfId="1105" xr:uid="{00000000-0005-0000-0000-0000EF000000}"/>
    <cellStyle name="Гиперссылка 18" xfId="1106" xr:uid="{00000000-0005-0000-0000-0000F0000000}"/>
    <cellStyle name="Гиперссылка 19" xfId="1107" xr:uid="{00000000-0005-0000-0000-0000F1000000}"/>
    <cellStyle name="Гиперссылка 2" xfId="1590" xr:uid="{00000000-0005-0000-0000-0000F2000000}"/>
    <cellStyle name="Гиперссылка 20" xfId="1108" xr:uid="{00000000-0005-0000-0000-0000F3000000}"/>
    <cellStyle name="Гиперссылка 21" xfId="1109" xr:uid="{00000000-0005-0000-0000-0000F4000000}"/>
    <cellStyle name="Гиперссылка 22" xfId="1110" xr:uid="{00000000-0005-0000-0000-0000F5000000}"/>
    <cellStyle name="Гиперссылка 23" xfId="1111" xr:uid="{00000000-0005-0000-0000-0000F6000000}"/>
    <cellStyle name="Гиперссылка 24" xfId="1112" xr:uid="{00000000-0005-0000-0000-0000F7000000}"/>
    <cellStyle name="Гиперссылка 25" xfId="1113" xr:uid="{00000000-0005-0000-0000-0000F8000000}"/>
    <cellStyle name="Гиперссылка 26" xfId="1114" xr:uid="{00000000-0005-0000-0000-0000F9000000}"/>
    <cellStyle name="Гиперссылка 27" xfId="1115" xr:uid="{00000000-0005-0000-0000-0000FA000000}"/>
    <cellStyle name="Гиперссылка 28" xfId="1116" xr:uid="{00000000-0005-0000-0000-0000FB000000}"/>
    <cellStyle name="Гиперссылка 29" xfId="1117" xr:uid="{00000000-0005-0000-0000-0000FC000000}"/>
    <cellStyle name="Гиперссылка 3" xfId="1698" xr:uid="{00000000-0005-0000-0000-0000FD000000}"/>
    <cellStyle name="Гиперссылка 30" xfId="1118" xr:uid="{00000000-0005-0000-0000-0000FE000000}"/>
    <cellStyle name="Гиперссылка 31" xfId="1119" xr:uid="{00000000-0005-0000-0000-0000FF000000}"/>
    <cellStyle name="Гиперссылка 32" xfId="1120" xr:uid="{00000000-0005-0000-0000-000000010000}"/>
    <cellStyle name="Гиперссылка 33" xfId="1121" xr:uid="{00000000-0005-0000-0000-000001010000}"/>
    <cellStyle name="Гиперссылка 34" xfId="1122" xr:uid="{00000000-0005-0000-0000-000002010000}"/>
    <cellStyle name="Гиперссылка 35" xfId="1123" xr:uid="{00000000-0005-0000-0000-000003010000}"/>
    <cellStyle name="Гиперссылка 36" xfId="1124" xr:uid="{00000000-0005-0000-0000-000004010000}"/>
    <cellStyle name="Гиперссылка 37" xfId="1125" xr:uid="{00000000-0005-0000-0000-000005010000}"/>
    <cellStyle name="Гиперссылка 38" xfId="1126" xr:uid="{00000000-0005-0000-0000-000006010000}"/>
    <cellStyle name="Гиперссылка 39" xfId="1127" xr:uid="{00000000-0005-0000-0000-000007010000}"/>
    <cellStyle name="Гиперссылка 40" xfId="1128" xr:uid="{00000000-0005-0000-0000-000008010000}"/>
    <cellStyle name="Гиперссылка 41" xfId="1129" xr:uid="{00000000-0005-0000-0000-000009010000}"/>
    <cellStyle name="Гиперссылка 42" xfId="1130" xr:uid="{00000000-0005-0000-0000-00000A010000}"/>
    <cellStyle name="Гиперссылка 43" xfId="1131" xr:uid="{00000000-0005-0000-0000-00000B010000}"/>
    <cellStyle name="Гиперссылка 44" xfId="1132" xr:uid="{00000000-0005-0000-0000-00000C010000}"/>
    <cellStyle name="Гиперссылка 45" xfId="1133" xr:uid="{00000000-0005-0000-0000-00000D010000}"/>
    <cellStyle name="Гиперссылка 46" xfId="1134" xr:uid="{00000000-0005-0000-0000-00000E010000}"/>
    <cellStyle name="Гиперссылка 47" xfId="1135" xr:uid="{00000000-0005-0000-0000-00000F010000}"/>
    <cellStyle name="Гиперссылка 48" xfId="1136" xr:uid="{00000000-0005-0000-0000-000010010000}"/>
    <cellStyle name="Гиперссылка 49" xfId="1137" xr:uid="{00000000-0005-0000-0000-000011010000}"/>
    <cellStyle name="Гиперссылка 50" xfId="1138" xr:uid="{00000000-0005-0000-0000-000012010000}"/>
    <cellStyle name="Гиперссылка 51" xfId="1139" xr:uid="{00000000-0005-0000-0000-000013010000}"/>
    <cellStyle name="Гиперссылка 52" xfId="1140" xr:uid="{00000000-0005-0000-0000-000014010000}"/>
    <cellStyle name="Гиперссылка 53" xfId="1141" xr:uid="{00000000-0005-0000-0000-000015010000}"/>
    <cellStyle name="Гиперссылка 54" xfId="1142" xr:uid="{00000000-0005-0000-0000-000016010000}"/>
    <cellStyle name="Гиперссылка 55" xfId="1143" xr:uid="{00000000-0005-0000-0000-000017010000}"/>
    <cellStyle name="Гиперссылка 56" xfId="1144" xr:uid="{00000000-0005-0000-0000-000018010000}"/>
    <cellStyle name="Гиперссылка 57" xfId="1145" xr:uid="{00000000-0005-0000-0000-000019010000}"/>
    <cellStyle name="Гиперссылка 58" xfId="1146" xr:uid="{00000000-0005-0000-0000-00001A010000}"/>
    <cellStyle name="Гиперссылка 8" xfId="1147" xr:uid="{00000000-0005-0000-0000-00001B010000}"/>
    <cellStyle name="Гиперссылка 9" xfId="1148" xr:uid="{00000000-0005-0000-0000-00001C010000}"/>
    <cellStyle name="Денежный 2" xfId="1591" xr:uid="{00000000-0005-0000-0000-00001D010000}"/>
    <cellStyle name="Денежный 2 2" xfId="1592" xr:uid="{00000000-0005-0000-0000-00001E010000}"/>
    <cellStyle name="Денежный 2_ДКС Украина прейскурант COSMEC" xfId="1593" xr:uid="{00000000-0005-0000-0000-00001F010000}"/>
    <cellStyle name="Заголовок 1 2" xfId="1594" xr:uid="{00000000-0005-0000-0000-000020010000}"/>
    <cellStyle name="Заголовок 2 2" xfId="1595" xr:uid="{00000000-0005-0000-0000-000021010000}"/>
    <cellStyle name="Заголовок 3 2" xfId="1596" xr:uid="{00000000-0005-0000-0000-000022010000}"/>
    <cellStyle name="Заголовок 4 2" xfId="1597" xr:uid="{00000000-0005-0000-0000-000023010000}"/>
    <cellStyle name="Итог 2" xfId="1598" xr:uid="{00000000-0005-0000-0000-000024010000}"/>
    <cellStyle name="Контрольная ячейка 2" xfId="1599" xr:uid="{00000000-0005-0000-0000-000025010000}"/>
    <cellStyle name="Название 2" xfId="1600" xr:uid="{00000000-0005-0000-0000-000026010000}"/>
    <cellStyle name="Нейтральный 2" xfId="1601" xr:uid="{00000000-0005-0000-0000-000027010000}"/>
    <cellStyle name="Обычный" xfId="0" builtinId="0"/>
    <cellStyle name="Обычный 10" xfId="1430" xr:uid="{00000000-0005-0000-0000-000029010000}"/>
    <cellStyle name="Обычный 10 10" xfId="7" xr:uid="{00000000-0005-0000-0000-00002A010000}"/>
    <cellStyle name="Обычный 10 10 2" xfId="808" xr:uid="{00000000-0005-0000-0000-00002B010000}"/>
    <cellStyle name="Обычный 10 10 3" xfId="927" xr:uid="{00000000-0005-0000-0000-00002C010000}"/>
    <cellStyle name="Обычный 10 10 4" xfId="1149" xr:uid="{00000000-0005-0000-0000-00002D010000}"/>
    <cellStyle name="Обычный 10 10 5" xfId="1847" xr:uid="{00000000-0005-0000-0000-00002E010000}"/>
    <cellStyle name="Обычный 10 11" xfId="1602" xr:uid="{00000000-0005-0000-0000-00002F010000}"/>
    <cellStyle name="Обычный 10 2" xfId="8" xr:uid="{00000000-0005-0000-0000-000030010000}"/>
    <cellStyle name="Обычный 10 2 2" xfId="809" xr:uid="{00000000-0005-0000-0000-000031010000}"/>
    <cellStyle name="Обычный 10 2 2 2" xfId="1604" xr:uid="{00000000-0005-0000-0000-000032010000}"/>
    <cellStyle name="Обычный 10 2 3" xfId="928" xr:uid="{00000000-0005-0000-0000-000033010000}"/>
    <cellStyle name="Обычный 10 2 4" xfId="1150" xr:uid="{00000000-0005-0000-0000-000034010000}"/>
    <cellStyle name="Обычный 10 2 5" xfId="1603" xr:uid="{00000000-0005-0000-0000-000035010000}"/>
    <cellStyle name="Обычный 10 2 6" xfId="1848" xr:uid="{00000000-0005-0000-0000-000036010000}"/>
    <cellStyle name="Обычный 10 3" xfId="9" xr:uid="{00000000-0005-0000-0000-000037010000}"/>
    <cellStyle name="Обычный 10 3 2" xfId="810" xr:uid="{00000000-0005-0000-0000-000038010000}"/>
    <cellStyle name="Обычный 10 3 3" xfId="929" xr:uid="{00000000-0005-0000-0000-000039010000}"/>
    <cellStyle name="Обычный 10 3 4" xfId="1151" xr:uid="{00000000-0005-0000-0000-00003A010000}"/>
    <cellStyle name="Обычный 10 3 5" xfId="1605" xr:uid="{00000000-0005-0000-0000-00003B010000}"/>
    <cellStyle name="Обычный 10 3 6" xfId="1849" xr:uid="{00000000-0005-0000-0000-00003C010000}"/>
    <cellStyle name="Обычный 10 4" xfId="10" xr:uid="{00000000-0005-0000-0000-00003D010000}"/>
    <cellStyle name="Обычный 10 4 2" xfId="811" xr:uid="{00000000-0005-0000-0000-00003E010000}"/>
    <cellStyle name="Обычный 10 4 3" xfId="930" xr:uid="{00000000-0005-0000-0000-00003F010000}"/>
    <cellStyle name="Обычный 10 4 4" xfId="1152" xr:uid="{00000000-0005-0000-0000-000040010000}"/>
    <cellStyle name="Обычный 10 4 5" xfId="1850" xr:uid="{00000000-0005-0000-0000-000041010000}"/>
    <cellStyle name="Обычный 10 5" xfId="11" xr:uid="{00000000-0005-0000-0000-000042010000}"/>
    <cellStyle name="Обычный 10 5 2" xfId="812" xr:uid="{00000000-0005-0000-0000-000043010000}"/>
    <cellStyle name="Обычный 10 5 3" xfId="931" xr:uid="{00000000-0005-0000-0000-000044010000}"/>
    <cellStyle name="Обычный 10 5 4" xfId="1153" xr:uid="{00000000-0005-0000-0000-000045010000}"/>
    <cellStyle name="Обычный 10 5 5" xfId="1851" xr:uid="{00000000-0005-0000-0000-000046010000}"/>
    <cellStyle name="Обычный 10 6" xfId="12" xr:uid="{00000000-0005-0000-0000-000047010000}"/>
    <cellStyle name="Обычный 10 6 2" xfId="813" xr:uid="{00000000-0005-0000-0000-000048010000}"/>
    <cellStyle name="Обычный 10 6 3" xfId="932" xr:uid="{00000000-0005-0000-0000-000049010000}"/>
    <cellStyle name="Обычный 10 6 4" xfId="1154" xr:uid="{00000000-0005-0000-0000-00004A010000}"/>
    <cellStyle name="Обычный 10 6 5" xfId="1852" xr:uid="{00000000-0005-0000-0000-00004B010000}"/>
    <cellStyle name="Обычный 10 7" xfId="13" xr:uid="{00000000-0005-0000-0000-00004C010000}"/>
    <cellStyle name="Обычный 10 7 2" xfId="814" xr:uid="{00000000-0005-0000-0000-00004D010000}"/>
    <cellStyle name="Обычный 10 7 3" xfId="933" xr:uid="{00000000-0005-0000-0000-00004E010000}"/>
    <cellStyle name="Обычный 10 7 4" xfId="1155" xr:uid="{00000000-0005-0000-0000-00004F010000}"/>
    <cellStyle name="Обычный 10 7 5" xfId="1853" xr:uid="{00000000-0005-0000-0000-000050010000}"/>
    <cellStyle name="Обычный 10 8" xfId="14" xr:uid="{00000000-0005-0000-0000-000051010000}"/>
    <cellStyle name="Обычный 10 8 2" xfId="815" xr:uid="{00000000-0005-0000-0000-000052010000}"/>
    <cellStyle name="Обычный 10 8 3" xfId="934" xr:uid="{00000000-0005-0000-0000-000053010000}"/>
    <cellStyle name="Обычный 10 8 4" xfId="1156" xr:uid="{00000000-0005-0000-0000-000054010000}"/>
    <cellStyle name="Обычный 10 8 5" xfId="1854" xr:uid="{00000000-0005-0000-0000-000055010000}"/>
    <cellStyle name="Обычный 10 9" xfId="15" xr:uid="{00000000-0005-0000-0000-000056010000}"/>
    <cellStyle name="Обычный 10 9 2" xfId="816" xr:uid="{00000000-0005-0000-0000-000057010000}"/>
    <cellStyle name="Обычный 10 9 3" xfId="935" xr:uid="{00000000-0005-0000-0000-000058010000}"/>
    <cellStyle name="Обычный 10 9 4" xfId="1157" xr:uid="{00000000-0005-0000-0000-000059010000}"/>
    <cellStyle name="Обычный 10 9 5" xfId="1855" xr:uid="{00000000-0005-0000-0000-00005A010000}"/>
    <cellStyle name="Обычный 100" xfId="1158" xr:uid="{00000000-0005-0000-0000-00005B010000}"/>
    <cellStyle name="Обычный 100 2" xfId="16" xr:uid="{00000000-0005-0000-0000-00005C010000}"/>
    <cellStyle name="Обычный 100 2 2" xfId="817" xr:uid="{00000000-0005-0000-0000-00005D010000}"/>
    <cellStyle name="Обычный 100 2 3" xfId="936" xr:uid="{00000000-0005-0000-0000-00005E010000}"/>
    <cellStyle name="Обычный 100 2 4" xfId="1159" xr:uid="{00000000-0005-0000-0000-00005F010000}"/>
    <cellStyle name="Обычный 100 2 5" xfId="1856" xr:uid="{00000000-0005-0000-0000-000060010000}"/>
    <cellStyle name="Обычный 100 3" xfId="17" xr:uid="{00000000-0005-0000-0000-000061010000}"/>
    <cellStyle name="Обычный 100 3 2" xfId="818" xr:uid="{00000000-0005-0000-0000-000062010000}"/>
    <cellStyle name="Обычный 100 3 3" xfId="937" xr:uid="{00000000-0005-0000-0000-000063010000}"/>
    <cellStyle name="Обычный 100 3 4" xfId="1160" xr:uid="{00000000-0005-0000-0000-000064010000}"/>
    <cellStyle name="Обычный 100 3 5" xfId="1857" xr:uid="{00000000-0005-0000-0000-000065010000}"/>
    <cellStyle name="Обычный 100 4" xfId="18" xr:uid="{00000000-0005-0000-0000-000066010000}"/>
    <cellStyle name="Обычный 100 4 2" xfId="819" xr:uid="{00000000-0005-0000-0000-000067010000}"/>
    <cellStyle name="Обычный 100 4 3" xfId="938" xr:uid="{00000000-0005-0000-0000-000068010000}"/>
    <cellStyle name="Обычный 100 4 4" xfId="1161" xr:uid="{00000000-0005-0000-0000-000069010000}"/>
    <cellStyle name="Обычный 100 4 5" xfId="1858" xr:uid="{00000000-0005-0000-0000-00006A010000}"/>
    <cellStyle name="Обычный 100 5" xfId="19" xr:uid="{00000000-0005-0000-0000-00006B010000}"/>
    <cellStyle name="Обычный 100 5 2" xfId="820" xr:uid="{00000000-0005-0000-0000-00006C010000}"/>
    <cellStyle name="Обычный 100 5 3" xfId="939" xr:uid="{00000000-0005-0000-0000-00006D010000}"/>
    <cellStyle name="Обычный 100 5 4" xfId="1162" xr:uid="{00000000-0005-0000-0000-00006E010000}"/>
    <cellStyle name="Обычный 100 5 5" xfId="1859" xr:uid="{00000000-0005-0000-0000-00006F010000}"/>
    <cellStyle name="Обычный 100 6" xfId="20" xr:uid="{00000000-0005-0000-0000-000070010000}"/>
    <cellStyle name="Обычный 100 6 2" xfId="821" xr:uid="{00000000-0005-0000-0000-000071010000}"/>
    <cellStyle name="Обычный 100 6 3" xfId="940" xr:uid="{00000000-0005-0000-0000-000072010000}"/>
    <cellStyle name="Обычный 100 6 4" xfId="1163" xr:uid="{00000000-0005-0000-0000-000073010000}"/>
    <cellStyle name="Обычный 100 6 5" xfId="1860" xr:uid="{00000000-0005-0000-0000-000074010000}"/>
    <cellStyle name="Обычный 100 7" xfId="21" xr:uid="{00000000-0005-0000-0000-000075010000}"/>
    <cellStyle name="Обычный 100 7 2" xfId="822" xr:uid="{00000000-0005-0000-0000-000076010000}"/>
    <cellStyle name="Обычный 100 7 3" xfId="941" xr:uid="{00000000-0005-0000-0000-000077010000}"/>
    <cellStyle name="Обычный 100 7 4" xfId="1164" xr:uid="{00000000-0005-0000-0000-000078010000}"/>
    <cellStyle name="Обычный 100 7 5" xfId="1861" xr:uid="{00000000-0005-0000-0000-000079010000}"/>
    <cellStyle name="Обычный 101" xfId="1165" xr:uid="{00000000-0005-0000-0000-00007A010000}"/>
    <cellStyle name="Обычный 101 2" xfId="22" xr:uid="{00000000-0005-0000-0000-00007B010000}"/>
    <cellStyle name="Обычный 101 3" xfId="23" xr:uid="{00000000-0005-0000-0000-00007C010000}"/>
    <cellStyle name="Обычный 101 4" xfId="24" xr:uid="{00000000-0005-0000-0000-00007D010000}"/>
    <cellStyle name="Обычный 101 5" xfId="25" xr:uid="{00000000-0005-0000-0000-00007E010000}"/>
    <cellStyle name="Обычный 101 6" xfId="26" xr:uid="{00000000-0005-0000-0000-00007F010000}"/>
    <cellStyle name="Обычный 101 7" xfId="27" xr:uid="{00000000-0005-0000-0000-000080010000}"/>
    <cellStyle name="Обычный 102" xfId="1166" xr:uid="{00000000-0005-0000-0000-000081010000}"/>
    <cellStyle name="Обычный 102 2" xfId="28" xr:uid="{00000000-0005-0000-0000-000082010000}"/>
    <cellStyle name="Обычный 102 3" xfId="29" xr:uid="{00000000-0005-0000-0000-000083010000}"/>
    <cellStyle name="Обычный 102 4" xfId="30" xr:uid="{00000000-0005-0000-0000-000084010000}"/>
    <cellStyle name="Обычный 102 5" xfId="31" xr:uid="{00000000-0005-0000-0000-000085010000}"/>
    <cellStyle name="Обычный 102 6" xfId="32" xr:uid="{00000000-0005-0000-0000-000086010000}"/>
    <cellStyle name="Обычный 102 7" xfId="33" xr:uid="{00000000-0005-0000-0000-000087010000}"/>
    <cellStyle name="Обычный 103" xfId="1167" xr:uid="{00000000-0005-0000-0000-000088010000}"/>
    <cellStyle name="Обычный 103 2" xfId="34" xr:uid="{00000000-0005-0000-0000-000089010000}"/>
    <cellStyle name="Обычный 103 3" xfId="35" xr:uid="{00000000-0005-0000-0000-00008A010000}"/>
    <cellStyle name="Обычный 103 4" xfId="36" xr:uid="{00000000-0005-0000-0000-00008B010000}"/>
    <cellStyle name="Обычный 103 5" xfId="37" xr:uid="{00000000-0005-0000-0000-00008C010000}"/>
    <cellStyle name="Обычный 103 6" xfId="38" xr:uid="{00000000-0005-0000-0000-00008D010000}"/>
    <cellStyle name="Обычный 103 7" xfId="39" xr:uid="{00000000-0005-0000-0000-00008E010000}"/>
    <cellStyle name="Обычный 104" xfId="1168" xr:uid="{00000000-0005-0000-0000-00008F010000}"/>
    <cellStyle name="Обычный 104 2" xfId="40" xr:uid="{00000000-0005-0000-0000-000090010000}"/>
    <cellStyle name="Обычный 104 3" xfId="41" xr:uid="{00000000-0005-0000-0000-000091010000}"/>
    <cellStyle name="Обычный 104 4" xfId="42" xr:uid="{00000000-0005-0000-0000-000092010000}"/>
    <cellStyle name="Обычный 104 5" xfId="43" xr:uid="{00000000-0005-0000-0000-000093010000}"/>
    <cellStyle name="Обычный 104 6" xfId="44" xr:uid="{00000000-0005-0000-0000-000094010000}"/>
    <cellStyle name="Обычный 104 7" xfId="45" xr:uid="{00000000-0005-0000-0000-000095010000}"/>
    <cellStyle name="Обычный 105" xfId="1169" xr:uid="{00000000-0005-0000-0000-000096010000}"/>
    <cellStyle name="Обычный 105 2" xfId="46" xr:uid="{00000000-0005-0000-0000-000097010000}"/>
    <cellStyle name="Обычный 105 3" xfId="47" xr:uid="{00000000-0005-0000-0000-000098010000}"/>
    <cellStyle name="Обычный 105 4" xfId="48" xr:uid="{00000000-0005-0000-0000-000099010000}"/>
    <cellStyle name="Обычный 105 5" xfId="49" xr:uid="{00000000-0005-0000-0000-00009A010000}"/>
    <cellStyle name="Обычный 105 6" xfId="50" xr:uid="{00000000-0005-0000-0000-00009B010000}"/>
    <cellStyle name="Обычный 105 7" xfId="51" xr:uid="{00000000-0005-0000-0000-00009C010000}"/>
    <cellStyle name="Обычный 106" xfId="1170" xr:uid="{00000000-0005-0000-0000-00009D010000}"/>
    <cellStyle name="Обычный 106 2" xfId="52" xr:uid="{00000000-0005-0000-0000-00009E010000}"/>
    <cellStyle name="Обычный 106 2 2" xfId="823" xr:uid="{00000000-0005-0000-0000-00009F010000}"/>
    <cellStyle name="Обычный 106 2 3" xfId="942" xr:uid="{00000000-0005-0000-0000-0000A0010000}"/>
    <cellStyle name="Обычный 106 2 4" xfId="1171" xr:uid="{00000000-0005-0000-0000-0000A1010000}"/>
    <cellStyle name="Обычный 106 2 5" xfId="1862" xr:uid="{00000000-0005-0000-0000-0000A2010000}"/>
    <cellStyle name="Обычный 106 3" xfId="53" xr:uid="{00000000-0005-0000-0000-0000A3010000}"/>
    <cellStyle name="Обычный 106 3 2" xfId="824" xr:uid="{00000000-0005-0000-0000-0000A4010000}"/>
    <cellStyle name="Обычный 106 3 3" xfId="943" xr:uid="{00000000-0005-0000-0000-0000A5010000}"/>
    <cellStyle name="Обычный 106 3 4" xfId="1172" xr:uid="{00000000-0005-0000-0000-0000A6010000}"/>
    <cellStyle name="Обычный 106 3 5" xfId="1863" xr:uid="{00000000-0005-0000-0000-0000A7010000}"/>
    <cellStyle name="Обычный 106 4" xfId="54" xr:uid="{00000000-0005-0000-0000-0000A8010000}"/>
    <cellStyle name="Обычный 106 4 2" xfId="825" xr:uid="{00000000-0005-0000-0000-0000A9010000}"/>
    <cellStyle name="Обычный 106 4 3" xfId="944" xr:uid="{00000000-0005-0000-0000-0000AA010000}"/>
    <cellStyle name="Обычный 106 4 4" xfId="1173" xr:uid="{00000000-0005-0000-0000-0000AB010000}"/>
    <cellStyle name="Обычный 106 4 5" xfId="1864" xr:uid="{00000000-0005-0000-0000-0000AC010000}"/>
    <cellStyle name="Обычный 106 5" xfId="55" xr:uid="{00000000-0005-0000-0000-0000AD010000}"/>
    <cellStyle name="Обычный 106 5 2" xfId="826" xr:uid="{00000000-0005-0000-0000-0000AE010000}"/>
    <cellStyle name="Обычный 106 5 3" xfId="945" xr:uid="{00000000-0005-0000-0000-0000AF010000}"/>
    <cellStyle name="Обычный 106 5 4" xfId="1174" xr:uid="{00000000-0005-0000-0000-0000B0010000}"/>
    <cellStyle name="Обычный 106 5 5" xfId="1865" xr:uid="{00000000-0005-0000-0000-0000B1010000}"/>
    <cellStyle name="Обычный 106 6" xfId="56" xr:uid="{00000000-0005-0000-0000-0000B2010000}"/>
    <cellStyle name="Обычный 106 6 2" xfId="827" xr:uid="{00000000-0005-0000-0000-0000B3010000}"/>
    <cellStyle name="Обычный 106 6 3" xfId="946" xr:uid="{00000000-0005-0000-0000-0000B4010000}"/>
    <cellStyle name="Обычный 106 6 4" xfId="1175" xr:uid="{00000000-0005-0000-0000-0000B5010000}"/>
    <cellStyle name="Обычный 106 6 5" xfId="1866" xr:uid="{00000000-0005-0000-0000-0000B6010000}"/>
    <cellStyle name="Обычный 106 7" xfId="57" xr:uid="{00000000-0005-0000-0000-0000B7010000}"/>
    <cellStyle name="Обычный 106 7 2" xfId="828" xr:uid="{00000000-0005-0000-0000-0000B8010000}"/>
    <cellStyle name="Обычный 106 7 3" xfId="947" xr:uid="{00000000-0005-0000-0000-0000B9010000}"/>
    <cellStyle name="Обычный 106 7 4" xfId="1176" xr:uid="{00000000-0005-0000-0000-0000BA010000}"/>
    <cellStyle name="Обычный 106 7 5" xfId="1867" xr:uid="{00000000-0005-0000-0000-0000BB010000}"/>
    <cellStyle name="Обычный 107" xfId="1177" xr:uid="{00000000-0005-0000-0000-0000BC010000}"/>
    <cellStyle name="Обычный 107 2" xfId="58" xr:uid="{00000000-0005-0000-0000-0000BD010000}"/>
    <cellStyle name="Обычный 107 2 2" xfId="829" xr:uid="{00000000-0005-0000-0000-0000BE010000}"/>
    <cellStyle name="Обычный 107 2 3" xfId="948" xr:uid="{00000000-0005-0000-0000-0000BF010000}"/>
    <cellStyle name="Обычный 107 2 4" xfId="1178" xr:uid="{00000000-0005-0000-0000-0000C0010000}"/>
    <cellStyle name="Обычный 107 2 5" xfId="1868" xr:uid="{00000000-0005-0000-0000-0000C1010000}"/>
    <cellStyle name="Обычный 107 3" xfId="59" xr:uid="{00000000-0005-0000-0000-0000C2010000}"/>
    <cellStyle name="Обычный 107 3 2" xfId="830" xr:uid="{00000000-0005-0000-0000-0000C3010000}"/>
    <cellStyle name="Обычный 107 3 3" xfId="949" xr:uid="{00000000-0005-0000-0000-0000C4010000}"/>
    <cellStyle name="Обычный 107 3 4" xfId="1179" xr:uid="{00000000-0005-0000-0000-0000C5010000}"/>
    <cellStyle name="Обычный 107 3 5" xfId="1869" xr:uid="{00000000-0005-0000-0000-0000C6010000}"/>
    <cellStyle name="Обычный 107 4" xfId="60" xr:uid="{00000000-0005-0000-0000-0000C7010000}"/>
    <cellStyle name="Обычный 107 4 2" xfId="831" xr:uid="{00000000-0005-0000-0000-0000C8010000}"/>
    <cellStyle name="Обычный 107 4 3" xfId="950" xr:uid="{00000000-0005-0000-0000-0000C9010000}"/>
    <cellStyle name="Обычный 107 4 4" xfId="1180" xr:uid="{00000000-0005-0000-0000-0000CA010000}"/>
    <cellStyle name="Обычный 107 4 5" xfId="1870" xr:uid="{00000000-0005-0000-0000-0000CB010000}"/>
    <cellStyle name="Обычный 107 5" xfId="61" xr:uid="{00000000-0005-0000-0000-0000CC010000}"/>
    <cellStyle name="Обычный 107 5 2" xfId="832" xr:uid="{00000000-0005-0000-0000-0000CD010000}"/>
    <cellStyle name="Обычный 107 5 3" xfId="951" xr:uid="{00000000-0005-0000-0000-0000CE010000}"/>
    <cellStyle name="Обычный 107 5 4" xfId="1181" xr:uid="{00000000-0005-0000-0000-0000CF010000}"/>
    <cellStyle name="Обычный 107 5 5" xfId="1871" xr:uid="{00000000-0005-0000-0000-0000D0010000}"/>
    <cellStyle name="Обычный 107 6" xfId="62" xr:uid="{00000000-0005-0000-0000-0000D1010000}"/>
    <cellStyle name="Обычный 107 6 2" xfId="833" xr:uid="{00000000-0005-0000-0000-0000D2010000}"/>
    <cellStyle name="Обычный 107 6 3" xfId="952" xr:uid="{00000000-0005-0000-0000-0000D3010000}"/>
    <cellStyle name="Обычный 107 6 4" xfId="1182" xr:uid="{00000000-0005-0000-0000-0000D4010000}"/>
    <cellStyle name="Обычный 107 6 5" xfId="1872" xr:uid="{00000000-0005-0000-0000-0000D5010000}"/>
    <cellStyle name="Обычный 107 7" xfId="63" xr:uid="{00000000-0005-0000-0000-0000D6010000}"/>
    <cellStyle name="Обычный 107 7 2" xfId="834" xr:uid="{00000000-0005-0000-0000-0000D7010000}"/>
    <cellStyle name="Обычный 107 7 3" xfId="953" xr:uid="{00000000-0005-0000-0000-0000D8010000}"/>
    <cellStyle name="Обычный 107 7 4" xfId="1183" xr:uid="{00000000-0005-0000-0000-0000D9010000}"/>
    <cellStyle name="Обычный 107 7 5" xfId="1873" xr:uid="{00000000-0005-0000-0000-0000DA010000}"/>
    <cellStyle name="Обычный 108" xfId="1184" xr:uid="{00000000-0005-0000-0000-0000DB010000}"/>
    <cellStyle name="Обычный 108 2" xfId="64" xr:uid="{00000000-0005-0000-0000-0000DC010000}"/>
    <cellStyle name="Обычный 108 2 2" xfId="835" xr:uid="{00000000-0005-0000-0000-0000DD010000}"/>
    <cellStyle name="Обычный 108 2 3" xfId="954" xr:uid="{00000000-0005-0000-0000-0000DE010000}"/>
    <cellStyle name="Обычный 108 2 4" xfId="1185" xr:uid="{00000000-0005-0000-0000-0000DF010000}"/>
    <cellStyle name="Обычный 108 2 5" xfId="1874" xr:uid="{00000000-0005-0000-0000-0000E0010000}"/>
    <cellStyle name="Обычный 108 3" xfId="65" xr:uid="{00000000-0005-0000-0000-0000E1010000}"/>
    <cellStyle name="Обычный 108 3 2" xfId="836" xr:uid="{00000000-0005-0000-0000-0000E2010000}"/>
    <cellStyle name="Обычный 108 3 3" xfId="955" xr:uid="{00000000-0005-0000-0000-0000E3010000}"/>
    <cellStyle name="Обычный 108 3 4" xfId="1186" xr:uid="{00000000-0005-0000-0000-0000E4010000}"/>
    <cellStyle name="Обычный 108 3 5" xfId="1875" xr:uid="{00000000-0005-0000-0000-0000E5010000}"/>
    <cellStyle name="Обычный 108 4" xfId="66" xr:uid="{00000000-0005-0000-0000-0000E6010000}"/>
    <cellStyle name="Обычный 108 4 2" xfId="837" xr:uid="{00000000-0005-0000-0000-0000E7010000}"/>
    <cellStyle name="Обычный 108 4 3" xfId="956" xr:uid="{00000000-0005-0000-0000-0000E8010000}"/>
    <cellStyle name="Обычный 108 4 4" xfId="1187" xr:uid="{00000000-0005-0000-0000-0000E9010000}"/>
    <cellStyle name="Обычный 108 4 5" xfId="1876" xr:uid="{00000000-0005-0000-0000-0000EA010000}"/>
    <cellStyle name="Обычный 108 5" xfId="67" xr:uid="{00000000-0005-0000-0000-0000EB010000}"/>
    <cellStyle name="Обычный 108 5 2" xfId="838" xr:uid="{00000000-0005-0000-0000-0000EC010000}"/>
    <cellStyle name="Обычный 108 5 3" xfId="957" xr:uid="{00000000-0005-0000-0000-0000ED010000}"/>
    <cellStyle name="Обычный 108 5 4" xfId="1188" xr:uid="{00000000-0005-0000-0000-0000EE010000}"/>
    <cellStyle name="Обычный 108 5 5" xfId="1877" xr:uid="{00000000-0005-0000-0000-0000EF010000}"/>
    <cellStyle name="Обычный 108 6" xfId="68" xr:uid="{00000000-0005-0000-0000-0000F0010000}"/>
    <cellStyle name="Обычный 108 6 2" xfId="839" xr:uid="{00000000-0005-0000-0000-0000F1010000}"/>
    <cellStyle name="Обычный 108 6 3" xfId="958" xr:uid="{00000000-0005-0000-0000-0000F2010000}"/>
    <cellStyle name="Обычный 108 6 4" xfId="1189" xr:uid="{00000000-0005-0000-0000-0000F3010000}"/>
    <cellStyle name="Обычный 108 6 5" xfId="1878" xr:uid="{00000000-0005-0000-0000-0000F4010000}"/>
    <cellStyle name="Обычный 108 7" xfId="69" xr:uid="{00000000-0005-0000-0000-0000F5010000}"/>
    <cellStyle name="Обычный 108 7 2" xfId="840" xr:uid="{00000000-0005-0000-0000-0000F6010000}"/>
    <cellStyle name="Обычный 108 7 3" xfId="959" xr:uid="{00000000-0005-0000-0000-0000F7010000}"/>
    <cellStyle name="Обычный 108 7 4" xfId="1190" xr:uid="{00000000-0005-0000-0000-0000F8010000}"/>
    <cellStyle name="Обычный 108 7 5" xfId="1879" xr:uid="{00000000-0005-0000-0000-0000F9010000}"/>
    <cellStyle name="Обычный 109" xfId="1191" xr:uid="{00000000-0005-0000-0000-0000FA010000}"/>
    <cellStyle name="Обычный 109 2" xfId="70" xr:uid="{00000000-0005-0000-0000-0000FB010000}"/>
    <cellStyle name="Обычный 109 3" xfId="71" xr:uid="{00000000-0005-0000-0000-0000FC010000}"/>
    <cellStyle name="Обычный 109 4" xfId="72" xr:uid="{00000000-0005-0000-0000-0000FD010000}"/>
    <cellStyle name="Обычный 109 5" xfId="73" xr:uid="{00000000-0005-0000-0000-0000FE010000}"/>
    <cellStyle name="Обычный 109 6" xfId="74" xr:uid="{00000000-0005-0000-0000-0000FF010000}"/>
    <cellStyle name="Обычный 109 7" xfId="75" xr:uid="{00000000-0005-0000-0000-000000020000}"/>
    <cellStyle name="Обычный 11" xfId="1606" xr:uid="{00000000-0005-0000-0000-000001020000}"/>
    <cellStyle name="Обычный 11 10" xfId="76" xr:uid="{00000000-0005-0000-0000-000002020000}"/>
    <cellStyle name="Обычный 11 10 2" xfId="841" xr:uid="{00000000-0005-0000-0000-000003020000}"/>
    <cellStyle name="Обычный 11 10 3" xfId="960" xr:uid="{00000000-0005-0000-0000-000004020000}"/>
    <cellStyle name="Обычный 11 10 4" xfId="1192" xr:uid="{00000000-0005-0000-0000-000005020000}"/>
    <cellStyle name="Обычный 11 10 5" xfId="1880" xr:uid="{00000000-0005-0000-0000-000006020000}"/>
    <cellStyle name="Обычный 11 2" xfId="77" xr:uid="{00000000-0005-0000-0000-000007020000}"/>
    <cellStyle name="Обычный 11 2 2" xfId="842" xr:uid="{00000000-0005-0000-0000-000008020000}"/>
    <cellStyle name="Обычный 11 2 2 2" xfId="1608" xr:uid="{00000000-0005-0000-0000-000009020000}"/>
    <cellStyle name="Обычный 11 2 3" xfId="961" xr:uid="{00000000-0005-0000-0000-00000A020000}"/>
    <cellStyle name="Обычный 11 2 4" xfId="1193" xr:uid="{00000000-0005-0000-0000-00000B020000}"/>
    <cellStyle name="Обычный 11 2 5" xfId="1607" xr:uid="{00000000-0005-0000-0000-00000C020000}"/>
    <cellStyle name="Обычный 11 2 6" xfId="1881" xr:uid="{00000000-0005-0000-0000-00000D020000}"/>
    <cellStyle name="Обычный 11 3" xfId="78" xr:uid="{00000000-0005-0000-0000-00000E020000}"/>
    <cellStyle name="Обычный 11 3 2" xfId="843" xr:uid="{00000000-0005-0000-0000-00000F020000}"/>
    <cellStyle name="Обычный 11 3 3" xfId="962" xr:uid="{00000000-0005-0000-0000-000010020000}"/>
    <cellStyle name="Обычный 11 3 4" xfId="1194" xr:uid="{00000000-0005-0000-0000-000011020000}"/>
    <cellStyle name="Обычный 11 3 5" xfId="1609" xr:uid="{00000000-0005-0000-0000-000012020000}"/>
    <cellStyle name="Обычный 11 3 6" xfId="1882" xr:uid="{00000000-0005-0000-0000-000013020000}"/>
    <cellStyle name="Обычный 11 4" xfId="79" xr:uid="{00000000-0005-0000-0000-000014020000}"/>
    <cellStyle name="Обычный 11 4 2" xfId="844" xr:uid="{00000000-0005-0000-0000-000015020000}"/>
    <cellStyle name="Обычный 11 4 3" xfId="963" xr:uid="{00000000-0005-0000-0000-000016020000}"/>
    <cellStyle name="Обычный 11 4 4" xfId="1195" xr:uid="{00000000-0005-0000-0000-000017020000}"/>
    <cellStyle name="Обычный 11 4 5" xfId="1883" xr:uid="{00000000-0005-0000-0000-000018020000}"/>
    <cellStyle name="Обычный 11 5" xfId="80" xr:uid="{00000000-0005-0000-0000-000019020000}"/>
    <cellStyle name="Обычный 11 5 2" xfId="845" xr:uid="{00000000-0005-0000-0000-00001A020000}"/>
    <cellStyle name="Обычный 11 5 3" xfId="964" xr:uid="{00000000-0005-0000-0000-00001B020000}"/>
    <cellStyle name="Обычный 11 5 4" xfId="1196" xr:uid="{00000000-0005-0000-0000-00001C020000}"/>
    <cellStyle name="Обычный 11 5 5" xfId="1884" xr:uid="{00000000-0005-0000-0000-00001D020000}"/>
    <cellStyle name="Обычный 11 6" xfId="81" xr:uid="{00000000-0005-0000-0000-00001E020000}"/>
    <cellStyle name="Обычный 11 6 2" xfId="846" xr:uid="{00000000-0005-0000-0000-00001F020000}"/>
    <cellStyle name="Обычный 11 6 3" xfId="965" xr:uid="{00000000-0005-0000-0000-000020020000}"/>
    <cellStyle name="Обычный 11 6 4" xfId="1197" xr:uid="{00000000-0005-0000-0000-000021020000}"/>
    <cellStyle name="Обычный 11 6 5" xfId="1885" xr:uid="{00000000-0005-0000-0000-000022020000}"/>
    <cellStyle name="Обычный 11 7" xfId="82" xr:uid="{00000000-0005-0000-0000-000023020000}"/>
    <cellStyle name="Обычный 11 7 2" xfId="847" xr:uid="{00000000-0005-0000-0000-000024020000}"/>
    <cellStyle name="Обычный 11 7 3" xfId="966" xr:uid="{00000000-0005-0000-0000-000025020000}"/>
    <cellStyle name="Обычный 11 7 4" xfId="1198" xr:uid="{00000000-0005-0000-0000-000026020000}"/>
    <cellStyle name="Обычный 11 7 5" xfId="1886" xr:uid="{00000000-0005-0000-0000-000027020000}"/>
    <cellStyle name="Обычный 11 8" xfId="83" xr:uid="{00000000-0005-0000-0000-000028020000}"/>
    <cellStyle name="Обычный 11 8 2" xfId="848" xr:uid="{00000000-0005-0000-0000-000029020000}"/>
    <cellStyle name="Обычный 11 8 3" xfId="967" xr:uid="{00000000-0005-0000-0000-00002A020000}"/>
    <cellStyle name="Обычный 11 8 4" xfId="1199" xr:uid="{00000000-0005-0000-0000-00002B020000}"/>
    <cellStyle name="Обычный 11 8 5" xfId="1887" xr:uid="{00000000-0005-0000-0000-00002C020000}"/>
    <cellStyle name="Обычный 11 9" xfId="84" xr:uid="{00000000-0005-0000-0000-00002D020000}"/>
    <cellStyle name="Обычный 11 9 2" xfId="849" xr:uid="{00000000-0005-0000-0000-00002E020000}"/>
    <cellStyle name="Обычный 11 9 3" xfId="968" xr:uid="{00000000-0005-0000-0000-00002F020000}"/>
    <cellStyle name="Обычный 11 9 4" xfId="1200" xr:uid="{00000000-0005-0000-0000-000030020000}"/>
    <cellStyle name="Обычный 11 9 5" xfId="1888" xr:uid="{00000000-0005-0000-0000-000031020000}"/>
    <cellStyle name="Обычный 110" xfId="1201" xr:uid="{00000000-0005-0000-0000-000032020000}"/>
    <cellStyle name="Обычный 111" xfId="1202" xr:uid="{00000000-0005-0000-0000-000033020000}"/>
    <cellStyle name="Обычный 112" xfId="1203" xr:uid="{00000000-0005-0000-0000-000034020000}"/>
    <cellStyle name="Обычный 113" xfId="1204" xr:uid="{00000000-0005-0000-0000-000035020000}"/>
    <cellStyle name="Обычный 114" xfId="1205" xr:uid="{00000000-0005-0000-0000-000036020000}"/>
    <cellStyle name="Обычный 115" xfId="1206" xr:uid="{00000000-0005-0000-0000-000037020000}"/>
    <cellStyle name="Обычный 116" xfId="1207" xr:uid="{00000000-0005-0000-0000-000038020000}"/>
    <cellStyle name="Обычный 117" xfId="1208" xr:uid="{00000000-0005-0000-0000-000039020000}"/>
    <cellStyle name="Обычный 118" xfId="1209" xr:uid="{00000000-0005-0000-0000-00003A020000}"/>
    <cellStyle name="Обычный 119" xfId="1210" xr:uid="{00000000-0005-0000-0000-00003B020000}"/>
    <cellStyle name="Обычный 12" xfId="1610" xr:uid="{00000000-0005-0000-0000-00003C020000}"/>
    <cellStyle name="Обычный 12 10" xfId="85" xr:uid="{00000000-0005-0000-0000-00003D020000}"/>
    <cellStyle name="Обычный 12 2" xfId="86" xr:uid="{00000000-0005-0000-0000-00003E020000}"/>
    <cellStyle name="Обычный 12 2 2" xfId="850" xr:uid="{00000000-0005-0000-0000-00003F020000}"/>
    <cellStyle name="Обычный 12 2 3" xfId="969" xr:uid="{00000000-0005-0000-0000-000040020000}"/>
    <cellStyle name="Обычный 12 2 4" xfId="1211" xr:uid="{00000000-0005-0000-0000-000041020000}"/>
    <cellStyle name="Обычный 12 2 5" xfId="1889" xr:uid="{00000000-0005-0000-0000-000042020000}"/>
    <cellStyle name="Обычный 12 3" xfId="87" xr:uid="{00000000-0005-0000-0000-000043020000}"/>
    <cellStyle name="Обычный 12 3 2" xfId="851" xr:uid="{00000000-0005-0000-0000-000044020000}"/>
    <cellStyle name="Обычный 12 3 3" xfId="970" xr:uid="{00000000-0005-0000-0000-000045020000}"/>
    <cellStyle name="Обычный 12 3 4" xfId="1212" xr:uid="{00000000-0005-0000-0000-000046020000}"/>
    <cellStyle name="Обычный 12 3 5" xfId="1890" xr:uid="{00000000-0005-0000-0000-000047020000}"/>
    <cellStyle name="Обычный 12 4" xfId="88" xr:uid="{00000000-0005-0000-0000-000048020000}"/>
    <cellStyle name="Обычный 12 4 2" xfId="852" xr:uid="{00000000-0005-0000-0000-000049020000}"/>
    <cellStyle name="Обычный 12 4 3" xfId="971" xr:uid="{00000000-0005-0000-0000-00004A020000}"/>
    <cellStyle name="Обычный 12 4 4" xfId="1213" xr:uid="{00000000-0005-0000-0000-00004B020000}"/>
    <cellStyle name="Обычный 12 4 5" xfId="1891" xr:uid="{00000000-0005-0000-0000-00004C020000}"/>
    <cellStyle name="Обычный 12 5" xfId="89" xr:uid="{00000000-0005-0000-0000-00004D020000}"/>
    <cellStyle name="Обычный 12 6" xfId="90" xr:uid="{00000000-0005-0000-0000-00004E020000}"/>
    <cellStyle name="Обычный 12 7" xfId="91" xr:uid="{00000000-0005-0000-0000-00004F020000}"/>
    <cellStyle name="Обычный 12 8" xfId="92" xr:uid="{00000000-0005-0000-0000-000050020000}"/>
    <cellStyle name="Обычный 12 9" xfId="93" xr:uid="{00000000-0005-0000-0000-000051020000}"/>
    <cellStyle name="Обычный 120" xfId="1214" xr:uid="{00000000-0005-0000-0000-000052020000}"/>
    <cellStyle name="Обычный 121" xfId="1215" xr:uid="{00000000-0005-0000-0000-000053020000}"/>
    <cellStyle name="Обычный 122" xfId="1216" xr:uid="{00000000-0005-0000-0000-000054020000}"/>
    <cellStyle name="Обычный 123" xfId="1217" xr:uid="{00000000-0005-0000-0000-000055020000}"/>
    <cellStyle name="Обычный 124" xfId="1218" xr:uid="{00000000-0005-0000-0000-000056020000}"/>
    <cellStyle name="Обычный 125" xfId="1219" xr:uid="{00000000-0005-0000-0000-000057020000}"/>
    <cellStyle name="Обычный 126" xfId="1220" xr:uid="{00000000-0005-0000-0000-000058020000}"/>
    <cellStyle name="Обычный 127" xfId="1221" xr:uid="{00000000-0005-0000-0000-000059020000}"/>
    <cellStyle name="Обычный 128" xfId="1222" xr:uid="{00000000-0005-0000-0000-00005A020000}"/>
    <cellStyle name="Обычный 129" xfId="1223" xr:uid="{00000000-0005-0000-0000-00005B020000}"/>
    <cellStyle name="Обычный 13" xfId="1611" xr:uid="{00000000-0005-0000-0000-00005C020000}"/>
    <cellStyle name="Обычный 13 10" xfId="94" xr:uid="{00000000-0005-0000-0000-00005D020000}"/>
    <cellStyle name="Обычный 13 2" xfId="95" xr:uid="{00000000-0005-0000-0000-00005E020000}"/>
    <cellStyle name="Обычный 13 2 2" xfId="96" xr:uid="{00000000-0005-0000-0000-00005F020000}"/>
    <cellStyle name="Обычный 13 2 2 2" xfId="853" xr:uid="{00000000-0005-0000-0000-000060020000}"/>
    <cellStyle name="Обычный 13 2 2 3" xfId="972" xr:uid="{00000000-0005-0000-0000-000061020000}"/>
    <cellStyle name="Обычный 13 2 2 4" xfId="1224" xr:uid="{00000000-0005-0000-0000-000062020000}"/>
    <cellStyle name="Обычный 13 2 2 5" xfId="1892" xr:uid="{00000000-0005-0000-0000-000063020000}"/>
    <cellStyle name="Обычный 13 2 3" xfId="97" xr:uid="{00000000-0005-0000-0000-000064020000}"/>
    <cellStyle name="Обычный 13 2 3 2" xfId="854" xr:uid="{00000000-0005-0000-0000-000065020000}"/>
    <cellStyle name="Обычный 13 2 3 3" xfId="973" xr:uid="{00000000-0005-0000-0000-000066020000}"/>
    <cellStyle name="Обычный 13 2 3 4" xfId="1225" xr:uid="{00000000-0005-0000-0000-000067020000}"/>
    <cellStyle name="Обычный 13 2 3 5" xfId="1893" xr:uid="{00000000-0005-0000-0000-000068020000}"/>
    <cellStyle name="Обычный 13 2 4" xfId="1612" xr:uid="{00000000-0005-0000-0000-000069020000}"/>
    <cellStyle name="Обычный 13 2_тип оборудования" xfId="1226" xr:uid="{00000000-0005-0000-0000-00006A020000}"/>
    <cellStyle name="Обычный 13 3" xfId="98" xr:uid="{00000000-0005-0000-0000-00006B020000}"/>
    <cellStyle name="Обычный 13 3 2" xfId="855" xr:uid="{00000000-0005-0000-0000-00006C020000}"/>
    <cellStyle name="Обычный 13 3 3" xfId="974" xr:uid="{00000000-0005-0000-0000-00006D020000}"/>
    <cellStyle name="Обычный 13 3 4" xfId="1227" xr:uid="{00000000-0005-0000-0000-00006E020000}"/>
    <cellStyle name="Обычный 13 3 5" xfId="1894" xr:uid="{00000000-0005-0000-0000-00006F020000}"/>
    <cellStyle name="Обычный 13 4" xfId="99" xr:uid="{00000000-0005-0000-0000-000070020000}"/>
    <cellStyle name="Обычный 13 4 2" xfId="856" xr:uid="{00000000-0005-0000-0000-000071020000}"/>
    <cellStyle name="Обычный 13 4 3" xfId="975" xr:uid="{00000000-0005-0000-0000-000072020000}"/>
    <cellStyle name="Обычный 13 4 4" xfId="1228" xr:uid="{00000000-0005-0000-0000-000073020000}"/>
    <cellStyle name="Обычный 13 4 5" xfId="1895" xr:uid="{00000000-0005-0000-0000-000074020000}"/>
    <cellStyle name="Обычный 13 5" xfId="100" xr:uid="{00000000-0005-0000-0000-000075020000}"/>
    <cellStyle name="Обычный 13 6" xfId="101" xr:uid="{00000000-0005-0000-0000-000076020000}"/>
    <cellStyle name="Обычный 13 7" xfId="102" xr:uid="{00000000-0005-0000-0000-000077020000}"/>
    <cellStyle name="Обычный 13 8" xfId="103" xr:uid="{00000000-0005-0000-0000-000078020000}"/>
    <cellStyle name="Обычный 13 9" xfId="104" xr:uid="{00000000-0005-0000-0000-000079020000}"/>
    <cellStyle name="Обычный 130" xfId="1229" xr:uid="{00000000-0005-0000-0000-00007A020000}"/>
    <cellStyle name="Обычный 131" xfId="1230" xr:uid="{00000000-0005-0000-0000-00007B020000}"/>
    <cellStyle name="Обычный 132" xfId="1231" xr:uid="{00000000-0005-0000-0000-00007C020000}"/>
    <cellStyle name="Обычный 133" xfId="1232" xr:uid="{00000000-0005-0000-0000-00007D020000}"/>
    <cellStyle name="Обычный 134" xfId="1233" xr:uid="{00000000-0005-0000-0000-00007E020000}"/>
    <cellStyle name="Обычный 135" xfId="1234" xr:uid="{00000000-0005-0000-0000-00007F020000}"/>
    <cellStyle name="Обычный 136" xfId="1235" xr:uid="{00000000-0005-0000-0000-000080020000}"/>
    <cellStyle name="Обычный 137" xfId="1236" xr:uid="{00000000-0005-0000-0000-000081020000}"/>
    <cellStyle name="Обычный 138" xfId="1237" xr:uid="{00000000-0005-0000-0000-000082020000}"/>
    <cellStyle name="Обычный 139" xfId="1238" xr:uid="{00000000-0005-0000-0000-000083020000}"/>
    <cellStyle name="Обычный 14" xfId="1613" xr:uid="{00000000-0005-0000-0000-000084020000}"/>
    <cellStyle name="Обычный 14 10" xfId="105" xr:uid="{00000000-0005-0000-0000-000085020000}"/>
    <cellStyle name="Обычный 14 2" xfId="106" xr:uid="{00000000-0005-0000-0000-000086020000}"/>
    <cellStyle name="Обычный 14 2 2" xfId="857" xr:uid="{00000000-0005-0000-0000-000087020000}"/>
    <cellStyle name="Обычный 14 2 3" xfId="976" xr:uid="{00000000-0005-0000-0000-000088020000}"/>
    <cellStyle name="Обычный 14 2 4" xfId="1239" xr:uid="{00000000-0005-0000-0000-000089020000}"/>
    <cellStyle name="Обычный 14 2 5" xfId="1614" xr:uid="{00000000-0005-0000-0000-00008A020000}"/>
    <cellStyle name="Обычный 14 2 6" xfId="1896" xr:uid="{00000000-0005-0000-0000-00008B020000}"/>
    <cellStyle name="Обычный 14 3" xfId="107" xr:uid="{00000000-0005-0000-0000-00008C020000}"/>
    <cellStyle name="Обычный 14 3 2" xfId="858" xr:uid="{00000000-0005-0000-0000-00008D020000}"/>
    <cellStyle name="Обычный 14 3 3" xfId="977" xr:uid="{00000000-0005-0000-0000-00008E020000}"/>
    <cellStyle name="Обычный 14 3 4" xfId="1240" xr:uid="{00000000-0005-0000-0000-00008F020000}"/>
    <cellStyle name="Обычный 14 3 5" xfId="1897" xr:uid="{00000000-0005-0000-0000-000090020000}"/>
    <cellStyle name="Обычный 14 4" xfId="108" xr:uid="{00000000-0005-0000-0000-000091020000}"/>
    <cellStyle name="Обычный 14 4 2" xfId="859" xr:uid="{00000000-0005-0000-0000-000092020000}"/>
    <cellStyle name="Обычный 14 4 3" xfId="978" xr:uid="{00000000-0005-0000-0000-000093020000}"/>
    <cellStyle name="Обычный 14 4 4" xfId="1241" xr:uid="{00000000-0005-0000-0000-000094020000}"/>
    <cellStyle name="Обычный 14 4 5" xfId="1898" xr:uid="{00000000-0005-0000-0000-000095020000}"/>
    <cellStyle name="Обычный 14 5" xfId="109" xr:uid="{00000000-0005-0000-0000-000096020000}"/>
    <cellStyle name="Обычный 14 6" xfId="110" xr:uid="{00000000-0005-0000-0000-000097020000}"/>
    <cellStyle name="Обычный 14 7" xfId="111" xr:uid="{00000000-0005-0000-0000-000098020000}"/>
    <cellStyle name="Обычный 14 8" xfId="112" xr:uid="{00000000-0005-0000-0000-000099020000}"/>
    <cellStyle name="Обычный 14 9" xfId="113" xr:uid="{00000000-0005-0000-0000-00009A020000}"/>
    <cellStyle name="Обычный 140" xfId="1242" xr:uid="{00000000-0005-0000-0000-00009B020000}"/>
    <cellStyle name="Обычный 141" xfId="1243" xr:uid="{00000000-0005-0000-0000-00009C020000}"/>
    <cellStyle name="Обычный 142" xfId="1244" xr:uid="{00000000-0005-0000-0000-00009D020000}"/>
    <cellStyle name="Обычный 143" xfId="1245" xr:uid="{00000000-0005-0000-0000-00009E020000}"/>
    <cellStyle name="Обычный 144" xfId="1246" xr:uid="{00000000-0005-0000-0000-00009F020000}"/>
    <cellStyle name="Обычный 145" xfId="1247" xr:uid="{00000000-0005-0000-0000-0000A0020000}"/>
    <cellStyle name="Обычный 146" xfId="1248" xr:uid="{00000000-0005-0000-0000-0000A1020000}"/>
    <cellStyle name="Обычный 147" xfId="1249" xr:uid="{00000000-0005-0000-0000-0000A2020000}"/>
    <cellStyle name="Обычный 148" xfId="1250" xr:uid="{00000000-0005-0000-0000-0000A3020000}"/>
    <cellStyle name="Обычный 149" xfId="1251" xr:uid="{00000000-0005-0000-0000-0000A4020000}"/>
    <cellStyle name="Обычный 15" xfId="1615" xr:uid="{00000000-0005-0000-0000-0000A5020000}"/>
    <cellStyle name="Обычный 15 2" xfId="114" xr:uid="{00000000-0005-0000-0000-0000A6020000}"/>
    <cellStyle name="Обычный 15 3" xfId="115" xr:uid="{00000000-0005-0000-0000-0000A7020000}"/>
    <cellStyle name="Обычный 15 4" xfId="116" xr:uid="{00000000-0005-0000-0000-0000A8020000}"/>
    <cellStyle name="Обычный 15 5" xfId="117" xr:uid="{00000000-0005-0000-0000-0000A9020000}"/>
    <cellStyle name="Обычный 15 6" xfId="118" xr:uid="{00000000-0005-0000-0000-0000AA020000}"/>
    <cellStyle name="Обычный 15 7" xfId="119" xr:uid="{00000000-0005-0000-0000-0000AB020000}"/>
    <cellStyle name="Обычный 150" xfId="1252" xr:uid="{00000000-0005-0000-0000-0000AC020000}"/>
    <cellStyle name="Обычный 151" xfId="1253" xr:uid="{00000000-0005-0000-0000-0000AD020000}"/>
    <cellStyle name="Обычный 152" xfId="1254" xr:uid="{00000000-0005-0000-0000-0000AE020000}"/>
    <cellStyle name="Обычный 153" xfId="1255" xr:uid="{00000000-0005-0000-0000-0000AF020000}"/>
    <cellStyle name="Обычный 154" xfId="1256" xr:uid="{00000000-0005-0000-0000-0000B0020000}"/>
    <cellStyle name="Обычный 155" xfId="1257" xr:uid="{00000000-0005-0000-0000-0000B1020000}"/>
    <cellStyle name="Обычный 156" xfId="1258" xr:uid="{00000000-0005-0000-0000-0000B2020000}"/>
    <cellStyle name="Обычный 157" xfId="1259" xr:uid="{00000000-0005-0000-0000-0000B3020000}"/>
    <cellStyle name="Обычный 158" xfId="1260" xr:uid="{00000000-0005-0000-0000-0000B4020000}"/>
    <cellStyle name="Обычный 159" xfId="1261" xr:uid="{00000000-0005-0000-0000-0000B5020000}"/>
    <cellStyle name="Обычный 16" xfId="1616" xr:uid="{00000000-0005-0000-0000-0000B6020000}"/>
    <cellStyle name="Обычный 16 2" xfId="120" xr:uid="{00000000-0005-0000-0000-0000B7020000}"/>
    <cellStyle name="Обычный 16 3" xfId="121" xr:uid="{00000000-0005-0000-0000-0000B8020000}"/>
    <cellStyle name="Обычный 16 4" xfId="122" xr:uid="{00000000-0005-0000-0000-0000B9020000}"/>
    <cellStyle name="Обычный 16 5" xfId="123" xr:uid="{00000000-0005-0000-0000-0000BA020000}"/>
    <cellStyle name="Обычный 16 6" xfId="124" xr:uid="{00000000-0005-0000-0000-0000BB020000}"/>
    <cellStyle name="Обычный 16 7" xfId="125" xr:uid="{00000000-0005-0000-0000-0000BC020000}"/>
    <cellStyle name="Обычный 160" xfId="1262" xr:uid="{00000000-0005-0000-0000-0000BD020000}"/>
    <cellStyle name="Обычный 161" xfId="1263" xr:uid="{00000000-0005-0000-0000-0000BE020000}"/>
    <cellStyle name="Обычный 162" xfId="1264" xr:uid="{00000000-0005-0000-0000-0000BF020000}"/>
    <cellStyle name="Обычный 163" xfId="1265" xr:uid="{00000000-0005-0000-0000-0000C0020000}"/>
    <cellStyle name="Обычный 164" xfId="1266" xr:uid="{00000000-0005-0000-0000-0000C1020000}"/>
    <cellStyle name="Обычный 165" xfId="1267" xr:uid="{00000000-0005-0000-0000-0000C2020000}"/>
    <cellStyle name="Обычный 166" xfId="1268" xr:uid="{00000000-0005-0000-0000-0000C3020000}"/>
    <cellStyle name="Обычный 167" xfId="1269" xr:uid="{00000000-0005-0000-0000-0000C4020000}"/>
    <cellStyle name="Обычный 168" xfId="1270" xr:uid="{00000000-0005-0000-0000-0000C5020000}"/>
    <cellStyle name="Обычный 169" xfId="1271" xr:uid="{00000000-0005-0000-0000-0000C6020000}"/>
    <cellStyle name="Обычный 17" xfId="1963" xr:uid="{00000000-0005-0000-0000-0000C7020000}"/>
    <cellStyle name="Обычный 17 2" xfId="126" xr:uid="{00000000-0005-0000-0000-0000C8020000}"/>
    <cellStyle name="Обычный 17 3" xfId="127" xr:uid="{00000000-0005-0000-0000-0000C9020000}"/>
    <cellStyle name="Обычный 17 4" xfId="128" xr:uid="{00000000-0005-0000-0000-0000CA020000}"/>
    <cellStyle name="Обычный 17 5" xfId="129" xr:uid="{00000000-0005-0000-0000-0000CB020000}"/>
    <cellStyle name="Обычный 17 6" xfId="130" xr:uid="{00000000-0005-0000-0000-0000CC020000}"/>
    <cellStyle name="Обычный 17 7" xfId="131" xr:uid="{00000000-0005-0000-0000-0000CD020000}"/>
    <cellStyle name="Обычный 170" xfId="1272" xr:uid="{00000000-0005-0000-0000-0000CE020000}"/>
    <cellStyle name="Обычный 171" xfId="132" xr:uid="{00000000-0005-0000-0000-0000CF020000}"/>
    <cellStyle name="Обычный 171 10" xfId="133" xr:uid="{00000000-0005-0000-0000-0000D0020000}"/>
    <cellStyle name="Обычный 171 11" xfId="134" xr:uid="{00000000-0005-0000-0000-0000D1020000}"/>
    <cellStyle name="Обычный 171 12" xfId="135" xr:uid="{00000000-0005-0000-0000-0000D2020000}"/>
    <cellStyle name="Обычный 171 13" xfId="136" xr:uid="{00000000-0005-0000-0000-0000D3020000}"/>
    <cellStyle name="Обычный 171 2" xfId="137" xr:uid="{00000000-0005-0000-0000-0000D4020000}"/>
    <cellStyle name="Обычный 171 3" xfId="138" xr:uid="{00000000-0005-0000-0000-0000D5020000}"/>
    <cellStyle name="Обычный 171 4" xfId="139" xr:uid="{00000000-0005-0000-0000-0000D6020000}"/>
    <cellStyle name="Обычный 171 5" xfId="140" xr:uid="{00000000-0005-0000-0000-0000D7020000}"/>
    <cellStyle name="Обычный 171 6" xfId="141" xr:uid="{00000000-0005-0000-0000-0000D8020000}"/>
    <cellStyle name="Обычный 171 7" xfId="142" xr:uid="{00000000-0005-0000-0000-0000D9020000}"/>
    <cellStyle name="Обычный 171 8" xfId="143" xr:uid="{00000000-0005-0000-0000-0000DA020000}"/>
    <cellStyle name="Обычный 171 9" xfId="144" xr:uid="{00000000-0005-0000-0000-0000DB020000}"/>
    <cellStyle name="Обычный 171_Речпорт-элеватор-1" xfId="1273" xr:uid="{00000000-0005-0000-0000-0000DC020000}"/>
    <cellStyle name="Обычный 172" xfId="1274" xr:uid="{00000000-0005-0000-0000-0000DD020000}"/>
    <cellStyle name="Обычный 173" xfId="1275" xr:uid="{00000000-0005-0000-0000-0000DE020000}"/>
    <cellStyle name="Обычный 174" xfId="1276" xr:uid="{00000000-0005-0000-0000-0000DF020000}"/>
    <cellStyle name="Обычный 175" xfId="1277" xr:uid="{00000000-0005-0000-0000-0000E0020000}"/>
    <cellStyle name="Обычный 176" xfId="1278" xr:uid="{00000000-0005-0000-0000-0000E1020000}"/>
    <cellStyle name="Обычный 177" xfId="1279" xr:uid="{00000000-0005-0000-0000-0000E2020000}"/>
    <cellStyle name="Обычный 178" xfId="1280" xr:uid="{00000000-0005-0000-0000-0000E3020000}"/>
    <cellStyle name="Обычный 179" xfId="1281" xr:uid="{00000000-0005-0000-0000-0000E4020000}"/>
    <cellStyle name="Обычный 18" xfId="1966" xr:uid="{00000000-0005-0000-0000-0000E5020000}"/>
    <cellStyle name="Обычный 18 2" xfId="145" xr:uid="{00000000-0005-0000-0000-0000E6020000}"/>
    <cellStyle name="Обычный 18 3" xfId="146" xr:uid="{00000000-0005-0000-0000-0000E7020000}"/>
    <cellStyle name="Обычный 18 4" xfId="147" xr:uid="{00000000-0005-0000-0000-0000E8020000}"/>
    <cellStyle name="Обычный 18 5" xfId="148" xr:uid="{00000000-0005-0000-0000-0000E9020000}"/>
    <cellStyle name="Обычный 18 6" xfId="149" xr:uid="{00000000-0005-0000-0000-0000EA020000}"/>
    <cellStyle name="Обычный 18 7" xfId="150" xr:uid="{00000000-0005-0000-0000-0000EB020000}"/>
    <cellStyle name="Обычный 180" xfId="1282" xr:uid="{00000000-0005-0000-0000-0000EC020000}"/>
    <cellStyle name="Обычный 181" xfId="151" xr:uid="{00000000-0005-0000-0000-0000ED020000}"/>
    <cellStyle name="Обычный 181 2" xfId="152" xr:uid="{00000000-0005-0000-0000-0000EE020000}"/>
    <cellStyle name="Обычный 181 3" xfId="153" xr:uid="{00000000-0005-0000-0000-0000EF020000}"/>
    <cellStyle name="Обычный 181 4" xfId="154" xr:uid="{00000000-0005-0000-0000-0000F0020000}"/>
    <cellStyle name="Обычный 181 5" xfId="155" xr:uid="{00000000-0005-0000-0000-0000F1020000}"/>
    <cellStyle name="Обычный 181 6" xfId="156" xr:uid="{00000000-0005-0000-0000-0000F2020000}"/>
    <cellStyle name="Обычный 181 7" xfId="157" xr:uid="{00000000-0005-0000-0000-0000F3020000}"/>
    <cellStyle name="Обычный 182" xfId="1283" xr:uid="{00000000-0005-0000-0000-0000F4020000}"/>
    <cellStyle name="Обычный 183" xfId="1284" xr:uid="{00000000-0005-0000-0000-0000F5020000}"/>
    <cellStyle name="Обычный 184" xfId="1285" xr:uid="{00000000-0005-0000-0000-0000F6020000}"/>
    <cellStyle name="Обычный 185" xfId="1286" xr:uid="{00000000-0005-0000-0000-0000F7020000}"/>
    <cellStyle name="Обычный 186" xfId="1287" xr:uid="{00000000-0005-0000-0000-0000F8020000}"/>
    <cellStyle name="Обычный 187" xfId="1288" xr:uid="{00000000-0005-0000-0000-0000F9020000}"/>
    <cellStyle name="Обычный 188" xfId="158" xr:uid="{00000000-0005-0000-0000-0000FA020000}"/>
    <cellStyle name="Обычный 188 2" xfId="159" xr:uid="{00000000-0005-0000-0000-0000FB020000}"/>
    <cellStyle name="Обычный 188 3" xfId="160" xr:uid="{00000000-0005-0000-0000-0000FC020000}"/>
    <cellStyle name="Обычный 188 4" xfId="161" xr:uid="{00000000-0005-0000-0000-0000FD020000}"/>
    <cellStyle name="Обычный 188 5" xfId="162" xr:uid="{00000000-0005-0000-0000-0000FE020000}"/>
    <cellStyle name="Обычный 188 6" xfId="163" xr:uid="{00000000-0005-0000-0000-0000FF020000}"/>
    <cellStyle name="Обычный 188 7" xfId="164" xr:uid="{00000000-0005-0000-0000-000000030000}"/>
    <cellStyle name="Обычный 189" xfId="1289" xr:uid="{00000000-0005-0000-0000-000001030000}"/>
    <cellStyle name="Обычный 19" xfId="1617" xr:uid="{00000000-0005-0000-0000-000002030000}"/>
    <cellStyle name="Обычный 19 2" xfId="165" xr:uid="{00000000-0005-0000-0000-000003030000}"/>
    <cellStyle name="Обычный 19 3" xfId="166" xr:uid="{00000000-0005-0000-0000-000004030000}"/>
    <cellStyle name="Обычный 19 4" xfId="167" xr:uid="{00000000-0005-0000-0000-000005030000}"/>
    <cellStyle name="Обычный 19 5" xfId="168" xr:uid="{00000000-0005-0000-0000-000006030000}"/>
    <cellStyle name="Обычный 19 6" xfId="169" xr:uid="{00000000-0005-0000-0000-000007030000}"/>
    <cellStyle name="Обычный 19 7" xfId="170" xr:uid="{00000000-0005-0000-0000-000008030000}"/>
    <cellStyle name="Обычный 190" xfId="1290" xr:uid="{00000000-0005-0000-0000-000009030000}"/>
    <cellStyle name="Обычный 191" xfId="1291" xr:uid="{00000000-0005-0000-0000-00000A030000}"/>
    <cellStyle name="Обычный 192" xfId="171" xr:uid="{00000000-0005-0000-0000-00000B030000}"/>
    <cellStyle name="Обычный 192 2" xfId="172" xr:uid="{00000000-0005-0000-0000-00000C030000}"/>
    <cellStyle name="Обычный 192 3" xfId="173" xr:uid="{00000000-0005-0000-0000-00000D030000}"/>
    <cellStyle name="Обычный 192 4" xfId="174" xr:uid="{00000000-0005-0000-0000-00000E030000}"/>
    <cellStyle name="Обычный 192 5" xfId="175" xr:uid="{00000000-0005-0000-0000-00000F030000}"/>
    <cellStyle name="Обычный 192 6" xfId="176" xr:uid="{00000000-0005-0000-0000-000010030000}"/>
    <cellStyle name="Обычный 192 7" xfId="177" xr:uid="{00000000-0005-0000-0000-000011030000}"/>
    <cellStyle name="Обычный 193" xfId="1292" xr:uid="{00000000-0005-0000-0000-000012030000}"/>
    <cellStyle name="Обычный 194" xfId="1293" xr:uid="{00000000-0005-0000-0000-000013030000}"/>
    <cellStyle name="Обычный 195" xfId="1294" xr:uid="{00000000-0005-0000-0000-000014030000}"/>
    <cellStyle name="Обычный 196" xfId="1295" xr:uid="{00000000-0005-0000-0000-000015030000}"/>
    <cellStyle name="Обычный 197" xfId="1296" xr:uid="{00000000-0005-0000-0000-000016030000}"/>
    <cellStyle name="Обычный 198" xfId="1297" xr:uid="{00000000-0005-0000-0000-000017030000}"/>
    <cellStyle name="Обычный 199" xfId="1298" xr:uid="{00000000-0005-0000-0000-000018030000}"/>
    <cellStyle name="Обычный 2" xfId="178" xr:uid="{00000000-0005-0000-0000-000019030000}"/>
    <cellStyle name="Обычный 2 10" xfId="179" xr:uid="{00000000-0005-0000-0000-00001A030000}"/>
    <cellStyle name="Обычный 2 10 2" xfId="1619" xr:uid="{00000000-0005-0000-0000-00001B030000}"/>
    <cellStyle name="Обычный 2 10 2 2" xfId="1620" xr:uid="{00000000-0005-0000-0000-00001C030000}"/>
    <cellStyle name="Обычный 2 10 3" xfId="1621" xr:uid="{00000000-0005-0000-0000-00001D030000}"/>
    <cellStyle name="Обычный 2 10 4" xfId="1618" xr:uid="{00000000-0005-0000-0000-00001E030000}"/>
    <cellStyle name="Обычный 2 11" xfId="180" xr:uid="{00000000-0005-0000-0000-00001F030000}"/>
    <cellStyle name="Обычный 2 11 2" xfId="181" xr:uid="{00000000-0005-0000-0000-000020030000}"/>
    <cellStyle name="Обычный 2 11 2 2" xfId="1623" xr:uid="{00000000-0005-0000-0000-000021030000}"/>
    <cellStyle name="Обычный 2 11 3" xfId="182" xr:uid="{00000000-0005-0000-0000-000022030000}"/>
    <cellStyle name="Обычный 2 11 4" xfId="183" xr:uid="{00000000-0005-0000-0000-000023030000}"/>
    <cellStyle name="Обычный 2 11 5" xfId="184" xr:uid="{00000000-0005-0000-0000-000024030000}"/>
    <cellStyle name="Обычный 2 11 6" xfId="185" xr:uid="{00000000-0005-0000-0000-000025030000}"/>
    <cellStyle name="Обычный 2 11 7" xfId="186" xr:uid="{00000000-0005-0000-0000-000026030000}"/>
    <cellStyle name="Обычный 2 11 8" xfId="1622" xr:uid="{00000000-0005-0000-0000-000027030000}"/>
    <cellStyle name="Обычный 2 12" xfId="187" xr:uid="{00000000-0005-0000-0000-000028030000}"/>
    <cellStyle name="Обычный 2 12 2" xfId="188" xr:uid="{00000000-0005-0000-0000-000029030000}"/>
    <cellStyle name="Обычный 2 12 3" xfId="189" xr:uid="{00000000-0005-0000-0000-00002A030000}"/>
    <cellStyle name="Обычный 2 12 4" xfId="190" xr:uid="{00000000-0005-0000-0000-00002B030000}"/>
    <cellStyle name="Обычный 2 12 5" xfId="191" xr:uid="{00000000-0005-0000-0000-00002C030000}"/>
    <cellStyle name="Обычный 2 12 6" xfId="192" xr:uid="{00000000-0005-0000-0000-00002D030000}"/>
    <cellStyle name="Обычный 2 12 7" xfId="193" xr:uid="{00000000-0005-0000-0000-00002E030000}"/>
    <cellStyle name="Обычный 2 13" xfId="194" xr:uid="{00000000-0005-0000-0000-00002F030000}"/>
    <cellStyle name="Обычный 2 13 2" xfId="195" xr:uid="{00000000-0005-0000-0000-000030030000}"/>
    <cellStyle name="Обычный 2 13 3" xfId="196" xr:uid="{00000000-0005-0000-0000-000031030000}"/>
    <cellStyle name="Обычный 2 13 4" xfId="197" xr:uid="{00000000-0005-0000-0000-000032030000}"/>
    <cellStyle name="Обычный 2 13 5" xfId="198" xr:uid="{00000000-0005-0000-0000-000033030000}"/>
    <cellStyle name="Обычный 2 13 6" xfId="199" xr:uid="{00000000-0005-0000-0000-000034030000}"/>
    <cellStyle name="Обычный 2 13 7" xfId="200" xr:uid="{00000000-0005-0000-0000-000035030000}"/>
    <cellStyle name="Обычный 2 14" xfId="201" xr:uid="{00000000-0005-0000-0000-000036030000}"/>
    <cellStyle name="Обычный 2 14 2" xfId="202" xr:uid="{00000000-0005-0000-0000-000037030000}"/>
    <cellStyle name="Обычный 2 14 3" xfId="203" xr:uid="{00000000-0005-0000-0000-000038030000}"/>
    <cellStyle name="Обычный 2 14 4" xfId="204" xr:uid="{00000000-0005-0000-0000-000039030000}"/>
    <cellStyle name="Обычный 2 14 5" xfId="205" xr:uid="{00000000-0005-0000-0000-00003A030000}"/>
    <cellStyle name="Обычный 2 14 6" xfId="206" xr:uid="{00000000-0005-0000-0000-00003B030000}"/>
    <cellStyle name="Обычный 2 14 7" xfId="207" xr:uid="{00000000-0005-0000-0000-00003C030000}"/>
    <cellStyle name="Обычный 2 15" xfId="208" xr:uid="{00000000-0005-0000-0000-00003D030000}"/>
    <cellStyle name="Обычный 2 15 2" xfId="209" xr:uid="{00000000-0005-0000-0000-00003E030000}"/>
    <cellStyle name="Обычный 2 15 3" xfId="210" xr:uid="{00000000-0005-0000-0000-00003F030000}"/>
    <cellStyle name="Обычный 2 15 4" xfId="211" xr:uid="{00000000-0005-0000-0000-000040030000}"/>
    <cellStyle name="Обычный 2 15 5" xfId="212" xr:uid="{00000000-0005-0000-0000-000041030000}"/>
    <cellStyle name="Обычный 2 15 6" xfId="213" xr:uid="{00000000-0005-0000-0000-000042030000}"/>
    <cellStyle name="Обычный 2 15 7" xfId="214" xr:uid="{00000000-0005-0000-0000-000043030000}"/>
    <cellStyle name="Обычный 2 16" xfId="215" xr:uid="{00000000-0005-0000-0000-000044030000}"/>
    <cellStyle name="Обычный 2 16 2" xfId="216" xr:uid="{00000000-0005-0000-0000-000045030000}"/>
    <cellStyle name="Обычный 2 16 3" xfId="217" xr:uid="{00000000-0005-0000-0000-000046030000}"/>
    <cellStyle name="Обычный 2 16 4" xfId="218" xr:uid="{00000000-0005-0000-0000-000047030000}"/>
    <cellStyle name="Обычный 2 16 5" xfId="219" xr:uid="{00000000-0005-0000-0000-000048030000}"/>
    <cellStyle name="Обычный 2 16 6" xfId="220" xr:uid="{00000000-0005-0000-0000-000049030000}"/>
    <cellStyle name="Обычный 2 16 7" xfId="221" xr:uid="{00000000-0005-0000-0000-00004A030000}"/>
    <cellStyle name="Обычный 2 17" xfId="222" xr:uid="{00000000-0005-0000-0000-00004B030000}"/>
    <cellStyle name="Обычный 2 17 2" xfId="860" xr:uid="{00000000-0005-0000-0000-00004C030000}"/>
    <cellStyle name="Обычный 2 17 3" xfId="979" xr:uid="{00000000-0005-0000-0000-00004D030000}"/>
    <cellStyle name="Обычный 2 17 4" xfId="1299" xr:uid="{00000000-0005-0000-0000-00004E030000}"/>
    <cellStyle name="Обычный 2 17 5" xfId="1899" xr:uid="{00000000-0005-0000-0000-00004F030000}"/>
    <cellStyle name="Обычный 2 18" xfId="223" xr:uid="{00000000-0005-0000-0000-000050030000}"/>
    <cellStyle name="Обычный 2 18 2" xfId="861" xr:uid="{00000000-0005-0000-0000-000051030000}"/>
    <cellStyle name="Обычный 2 18 3" xfId="980" xr:uid="{00000000-0005-0000-0000-000052030000}"/>
    <cellStyle name="Обычный 2 18 4" xfId="1300" xr:uid="{00000000-0005-0000-0000-000053030000}"/>
    <cellStyle name="Обычный 2 18 5" xfId="1900" xr:uid="{00000000-0005-0000-0000-000054030000}"/>
    <cellStyle name="Обычный 2 19" xfId="224" xr:uid="{00000000-0005-0000-0000-000055030000}"/>
    <cellStyle name="Обычный 2 19 2" xfId="862" xr:uid="{00000000-0005-0000-0000-000056030000}"/>
    <cellStyle name="Обычный 2 19 3" xfId="981" xr:uid="{00000000-0005-0000-0000-000057030000}"/>
    <cellStyle name="Обычный 2 19 4" xfId="1301" xr:uid="{00000000-0005-0000-0000-000058030000}"/>
    <cellStyle name="Обычный 2 19 5" xfId="1901" xr:uid="{00000000-0005-0000-0000-000059030000}"/>
    <cellStyle name="Обычный 2 2" xfId="225" xr:uid="{00000000-0005-0000-0000-00005A030000}"/>
    <cellStyle name="Обычный 2 2 2" xfId="226" xr:uid="{00000000-0005-0000-0000-00005B030000}"/>
    <cellStyle name="Обычный 2 2 2 2" xfId="1626" xr:uid="{00000000-0005-0000-0000-00005C030000}"/>
    <cellStyle name="Обычный 2 2 2 3" xfId="1625" xr:uid="{00000000-0005-0000-0000-00005D030000}"/>
    <cellStyle name="Обычный 2 2 3" xfId="227" xr:uid="{00000000-0005-0000-0000-00005E030000}"/>
    <cellStyle name="Обычный 2 2 3 2" xfId="1627" xr:uid="{00000000-0005-0000-0000-00005F030000}"/>
    <cellStyle name="Обычный 2 2 4" xfId="228" xr:uid="{00000000-0005-0000-0000-000060030000}"/>
    <cellStyle name="Обычный 2 2 4 2" xfId="1629" xr:uid="{00000000-0005-0000-0000-000061030000}"/>
    <cellStyle name="Обычный 2 2 4 3" xfId="1628" xr:uid="{00000000-0005-0000-0000-000062030000}"/>
    <cellStyle name="Обычный 2 2 5" xfId="229" xr:uid="{00000000-0005-0000-0000-000063030000}"/>
    <cellStyle name="Обычный 2 2 5 2" xfId="1630" xr:uid="{00000000-0005-0000-0000-000064030000}"/>
    <cellStyle name="Обычный 2 2 6" xfId="230" xr:uid="{00000000-0005-0000-0000-000065030000}"/>
    <cellStyle name="Обычный 2 2 7" xfId="231" xr:uid="{00000000-0005-0000-0000-000066030000}"/>
    <cellStyle name="Обычный 2 2 8" xfId="1044" xr:uid="{00000000-0005-0000-0000-000067030000}"/>
    <cellStyle name="Обычный 2 2 9" xfId="1624" xr:uid="{00000000-0005-0000-0000-000068030000}"/>
    <cellStyle name="Обычный 2 20" xfId="232" xr:uid="{00000000-0005-0000-0000-000069030000}"/>
    <cellStyle name="Обычный 2 20 2" xfId="863" xr:uid="{00000000-0005-0000-0000-00006A030000}"/>
    <cellStyle name="Обычный 2 20 3" xfId="982" xr:uid="{00000000-0005-0000-0000-00006B030000}"/>
    <cellStyle name="Обычный 2 20 4" xfId="1302" xr:uid="{00000000-0005-0000-0000-00006C030000}"/>
    <cellStyle name="Обычный 2 20 5" xfId="1902" xr:uid="{00000000-0005-0000-0000-00006D030000}"/>
    <cellStyle name="Обычный 2 21" xfId="233" xr:uid="{00000000-0005-0000-0000-00006E030000}"/>
    <cellStyle name="Обычный 2 21 2" xfId="864" xr:uid="{00000000-0005-0000-0000-00006F030000}"/>
    <cellStyle name="Обычный 2 21 3" xfId="983" xr:uid="{00000000-0005-0000-0000-000070030000}"/>
    <cellStyle name="Обычный 2 21 4" xfId="1303" xr:uid="{00000000-0005-0000-0000-000071030000}"/>
    <cellStyle name="Обычный 2 21 5" xfId="1903" xr:uid="{00000000-0005-0000-0000-000072030000}"/>
    <cellStyle name="Обычный 2 22" xfId="234" xr:uid="{00000000-0005-0000-0000-000073030000}"/>
    <cellStyle name="Обычный 2 22 2" xfId="865" xr:uid="{00000000-0005-0000-0000-000074030000}"/>
    <cellStyle name="Обычный 2 22 3" xfId="984" xr:uid="{00000000-0005-0000-0000-000075030000}"/>
    <cellStyle name="Обычный 2 22 4" xfId="1304" xr:uid="{00000000-0005-0000-0000-000076030000}"/>
    <cellStyle name="Обычный 2 22 5" xfId="1904" xr:uid="{00000000-0005-0000-0000-000077030000}"/>
    <cellStyle name="Обычный 2 23" xfId="801" xr:uid="{00000000-0005-0000-0000-000078030000}"/>
    <cellStyle name="Обычный 2 23 2" xfId="1305" xr:uid="{00000000-0005-0000-0000-000079030000}"/>
    <cellStyle name="Обычный 2 24" xfId="923" xr:uid="{00000000-0005-0000-0000-00007A030000}"/>
    <cellStyle name="Обычный 2 25" xfId="1969" xr:uid="{00000000-0005-0000-0000-00007B030000}"/>
    <cellStyle name="Обычный 2 3" xfId="235" xr:uid="{00000000-0005-0000-0000-00007C030000}"/>
    <cellStyle name="Обычный 2 3 2" xfId="236" xr:uid="{00000000-0005-0000-0000-00007D030000}"/>
    <cellStyle name="Обычный 2 3 2 2" xfId="1633" xr:uid="{00000000-0005-0000-0000-00007E030000}"/>
    <cellStyle name="Обычный 2 3 2 3" xfId="1632" xr:uid="{00000000-0005-0000-0000-00007F030000}"/>
    <cellStyle name="Обычный 2 3 3" xfId="237" xr:uid="{00000000-0005-0000-0000-000080030000}"/>
    <cellStyle name="Обычный 2 3 3 2" xfId="1634" xr:uid="{00000000-0005-0000-0000-000081030000}"/>
    <cellStyle name="Обычный 2 3 4" xfId="238" xr:uid="{00000000-0005-0000-0000-000082030000}"/>
    <cellStyle name="Обычный 2 3 5" xfId="239" xr:uid="{00000000-0005-0000-0000-000083030000}"/>
    <cellStyle name="Обычный 2 3 6" xfId="240" xr:uid="{00000000-0005-0000-0000-000084030000}"/>
    <cellStyle name="Обычный 2 3 7" xfId="241" xr:uid="{00000000-0005-0000-0000-000085030000}"/>
    <cellStyle name="Обычный 2 3 8" xfId="1631" xr:uid="{00000000-0005-0000-0000-000086030000}"/>
    <cellStyle name="Обычный 2 4" xfId="242" xr:uid="{00000000-0005-0000-0000-000087030000}"/>
    <cellStyle name="Обычный 2 4 2" xfId="243" xr:uid="{00000000-0005-0000-0000-000088030000}"/>
    <cellStyle name="Обычный 2 4 3" xfId="244" xr:uid="{00000000-0005-0000-0000-000089030000}"/>
    <cellStyle name="Обычный 2 4 4" xfId="245" xr:uid="{00000000-0005-0000-0000-00008A030000}"/>
    <cellStyle name="Обычный 2 4 5" xfId="246" xr:uid="{00000000-0005-0000-0000-00008B030000}"/>
    <cellStyle name="Обычный 2 4 6" xfId="247" xr:uid="{00000000-0005-0000-0000-00008C030000}"/>
    <cellStyle name="Обычный 2 4 7" xfId="248" xr:uid="{00000000-0005-0000-0000-00008D030000}"/>
    <cellStyle name="Обычный 2 4 8" xfId="1635" xr:uid="{00000000-0005-0000-0000-00008E030000}"/>
    <cellStyle name="Обычный 2 5" xfId="249" xr:uid="{00000000-0005-0000-0000-00008F030000}"/>
    <cellStyle name="Обычный 2 5 2" xfId="1637" xr:uid="{00000000-0005-0000-0000-000090030000}"/>
    <cellStyle name="Обычный 2 5 2 2" xfId="1638" xr:uid="{00000000-0005-0000-0000-000091030000}"/>
    <cellStyle name="Обычный 2 5 3" xfId="1639" xr:uid="{00000000-0005-0000-0000-000092030000}"/>
    <cellStyle name="Обычный 2 5 4" xfId="1636" xr:uid="{00000000-0005-0000-0000-000093030000}"/>
    <cellStyle name="Обычный 2 6" xfId="250" xr:uid="{00000000-0005-0000-0000-000094030000}"/>
    <cellStyle name="Обычный 2 6 2" xfId="1640" xr:uid="{00000000-0005-0000-0000-000095030000}"/>
    <cellStyle name="Обычный 2 7" xfId="251" xr:uid="{00000000-0005-0000-0000-000096030000}"/>
    <cellStyle name="Обычный 2 7 2" xfId="1642" xr:uid="{00000000-0005-0000-0000-000097030000}"/>
    <cellStyle name="Обычный 2 7 3" xfId="1641" xr:uid="{00000000-0005-0000-0000-000098030000}"/>
    <cellStyle name="Обычный 2 8" xfId="252" xr:uid="{00000000-0005-0000-0000-000099030000}"/>
    <cellStyle name="Обычный 2 8 2" xfId="1643" xr:uid="{00000000-0005-0000-0000-00009A030000}"/>
    <cellStyle name="Обычный 2 9" xfId="253" xr:uid="{00000000-0005-0000-0000-00009B030000}"/>
    <cellStyle name="Обычный 2_Variants" xfId="1644" xr:uid="{00000000-0005-0000-0000-00009C030000}"/>
    <cellStyle name="Обычный 20" xfId="1970" xr:uid="{00000000-0005-0000-0000-00009D030000}"/>
    <cellStyle name="Обычный 20 2" xfId="254" xr:uid="{00000000-0005-0000-0000-00009E030000}"/>
    <cellStyle name="Обычный 20 3" xfId="255" xr:uid="{00000000-0005-0000-0000-00009F030000}"/>
    <cellStyle name="Обычный 20 4" xfId="256" xr:uid="{00000000-0005-0000-0000-0000A0030000}"/>
    <cellStyle name="Обычный 20 5" xfId="257" xr:uid="{00000000-0005-0000-0000-0000A1030000}"/>
    <cellStyle name="Обычный 20 6" xfId="258" xr:uid="{00000000-0005-0000-0000-0000A2030000}"/>
    <cellStyle name="Обычный 20 7" xfId="259" xr:uid="{00000000-0005-0000-0000-0000A3030000}"/>
    <cellStyle name="Обычный 200" xfId="1306" xr:uid="{00000000-0005-0000-0000-0000A4030000}"/>
    <cellStyle name="Обычный 201" xfId="1307" xr:uid="{00000000-0005-0000-0000-0000A5030000}"/>
    <cellStyle name="Обычный 202" xfId="1308" xr:uid="{00000000-0005-0000-0000-0000A6030000}"/>
    <cellStyle name="Обычный 203" xfId="1309" xr:uid="{00000000-0005-0000-0000-0000A7030000}"/>
    <cellStyle name="Обычный 204" xfId="1310" xr:uid="{00000000-0005-0000-0000-0000A8030000}"/>
    <cellStyle name="Обычный 205" xfId="1311" xr:uid="{00000000-0005-0000-0000-0000A9030000}"/>
    <cellStyle name="Обычный 206" xfId="1312" xr:uid="{00000000-0005-0000-0000-0000AA030000}"/>
    <cellStyle name="Обычный 207" xfId="1313" xr:uid="{00000000-0005-0000-0000-0000AB030000}"/>
    <cellStyle name="Обычный 208" xfId="1314" xr:uid="{00000000-0005-0000-0000-0000AC030000}"/>
    <cellStyle name="Обычный 209" xfId="1315" xr:uid="{00000000-0005-0000-0000-0000AD030000}"/>
    <cellStyle name="Обычный 21 2" xfId="260" xr:uid="{00000000-0005-0000-0000-0000AE030000}"/>
    <cellStyle name="Обычный 21 3" xfId="261" xr:uid="{00000000-0005-0000-0000-0000AF030000}"/>
    <cellStyle name="Обычный 21 4" xfId="262" xr:uid="{00000000-0005-0000-0000-0000B0030000}"/>
    <cellStyle name="Обычный 21 5" xfId="263" xr:uid="{00000000-0005-0000-0000-0000B1030000}"/>
    <cellStyle name="Обычный 21 6" xfId="264" xr:uid="{00000000-0005-0000-0000-0000B2030000}"/>
    <cellStyle name="Обычный 21 7" xfId="265" xr:uid="{00000000-0005-0000-0000-0000B3030000}"/>
    <cellStyle name="Обычный 210" xfId="1316" xr:uid="{00000000-0005-0000-0000-0000B4030000}"/>
    <cellStyle name="Обычный 211" xfId="1317" xr:uid="{00000000-0005-0000-0000-0000B5030000}"/>
    <cellStyle name="Обычный 212" xfId="1318" xr:uid="{00000000-0005-0000-0000-0000B6030000}"/>
    <cellStyle name="Обычный 213" xfId="1319" xr:uid="{00000000-0005-0000-0000-0000B7030000}"/>
    <cellStyle name="Обычный 214" xfId="1320" xr:uid="{00000000-0005-0000-0000-0000B8030000}"/>
    <cellStyle name="Обычный 215" xfId="1321" xr:uid="{00000000-0005-0000-0000-0000B9030000}"/>
    <cellStyle name="Обычный 22 2" xfId="266" xr:uid="{00000000-0005-0000-0000-0000BA030000}"/>
    <cellStyle name="Обычный 22 3" xfId="267" xr:uid="{00000000-0005-0000-0000-0000BB030000}"/>
    <cellStyle name="Обычный 22 4" xfId="268" xr:uid="{00000000-0005-0000-0000-0000BC030000}"/>
    <cellStyle name="Обычный 22 5" xfId="269" xr:uid="{00000000-0005-0000-0000-0000BD030000}"/>
    <cellStyle name="Обычный 22 6" xfId="270" xr:uid="{00000000-0005-0000-0000-0000BE030000}"/>
    <cellStyle name="Обычный 22 7" xfId="271" xr:uid="{00000000-0005-0000-0000-0000BF030000}"/>
    <cellStyle name="Обычный 23" xfId="1645" xr:uid="{00000000-0005-0000-0000-0000C0030000}"/>
    <cellStyle name="Обычный 23 2" xfId="272" xr:uid="{00000000-0005-0000-0000-0000C1030000}"/>
    <cellStyle name="Обычный 23 2 2" xfId="1646" xr:uid="{00000000-0005-0000-0000-0000C2030000}"/>
    <cellStyle name="Обычный 23 3" xfId="273" xr:uid="{00000000-0005-0000-0000-0000C3030000}"/>
    <cellStyle name="Обычный 23 4" xfId="274" xr:uid="{00000000-0005-0000-0000-0000C4030000}"/>
    <cellStyle name="Обычный 23 5" xfId="275" xr:uid="{00000000-0005-0000-0000-0000C5030000}"/>
    <cellStyle name="Обычный 23 6" xfId="276" xr:uid="{00000000-0005-0000-0000-0000C6030000}"/>
    <cellStyle name="Обычный 23 7" xfId="277" xr:uid="{00000000-0005-0000-0000-0000C7030000}"/>
    <cellStyle name="Обычный 24" xfId="1647" xr:uid="{00000000-0005-0000-0000-0000C8030000}"/>
    <cellStyle name="Обычный 24 2" xfId="278" xr:uid="{00000000-0005-0000-0000-0000C9030000}"/>
    <cellStyle name="Обычный 24 3" xfId="279" xr:uid="{00000000-0005-0000-0000-0000CA030000}"/>
    <cellStyle name="Обычный 24 4" xfId="280" xr:uid="{00000000-0005-0000-0000-0000CB030000}"/>
    <cellStyle name="Обычный 24 5" xfId="281" xr:uid="{00000000-0005-0000-0000-0000CC030000}"/>
    <cellStyle name="Обычный 24 6" xfId="282" xr:uid="{00000000-0005-0000-0000-0000CD030000}"/>
    <cellStyle name="Обычный 24 7" xfId="283" xr:uid="{00000000-0005-0000-0000-0000CE030000}"/>
    <cellStyle name="Обычный 25 2" xfId="284" xr:uid="{00000000-0005-0000-0000-0000CF030000}"/>
    <cellStyle name="Обычный 25 3" xfId="285" xr:uid="{00000000-0005-0000-0000-0000D0030000}"/>
    <cellStyle name="Обычный 25 4" xfId="286" xr:uid="{00000000-0005-0000-0000-0000D1030000}"/>
    <cellStyle name="Обычный 25 5" xfId="287" xr:uid="{00000000-0005-0000-0000-0000D2030000}"/>
    <cellStyle name="Обычный 25 6" xfId="288" xr:uid="{00000000-0005-0000-0000-0000D3030000}"/>
    <cellStyle name="Обычный 25 7" xfId="289" xr:uid="{00000000-0005-0000-0000-0000D4030000}"/>
    <cellStyle name="Обычный 26 2" xfId="290" xr:uid="{00000000-0005-0000-0000-0000D5030000}"/>
    <cellStyle name="Обычный 26 3" xfId="291" xr:uid="{00000000-0005-0000-0000-0000D6030000}"/>
    <cellStyle name="Обычный 26 4" xfId="292" xr:uid="{00000000-0005-0000-0000-0000D7030000}"/>
    <cellStyle name="Обычный 26 5" xfId="293" xr:uid="{00000000-0005-0000-0000-0000D8030000}"/>
    <cellStyle name="Обычный 26 6" xfId="294" xr:uid="{00000000-0005-0000-0000-0000D9030000}"/>
    <cellStyle name="Обычный 26 7" xfId="295" xr:uid="{00000000-0005-0000-0000-0000DA030000}"/>
    <cellStyle name="Обычный 27 2" xfId="296" xr:uid="{00000000-0005-0000-0000-0000DB030000}"/>
    <cellStyle name="Обычный 27 3" xfId="297" xr:uid="{00000000-0005-0000-0000-0000DC030000}"/>
    <cellStyle name="Обычный 27 4" xfId="298" xr:uid="{00000000-0005-0000-0000-0000DD030000}"/>
    <cellStyle name="Обычный 27 5" xfId="299" xr:uid="{00000000-0005-0000-0000-0000DE030000}"/>
    <cellStyle name="Обычный 27 6" xfId="300" xr:uid="{00000000-0005-0000-0000-0000DF030000}"/>
    <cellStyle name="Обычный 27 7" xfId="301" xr:uid="{00000000-0005-0000-0000-0000E0030000}"/>
    <cellStyle name="Обычный 28 2" xfId="302" xr:uid="{00000000-0005-0000-0000-0000E1030000}"/>
    <cellStyle name="Обычный 28 3" xfId="303" xr:uid="{00000000-0005-0000-0000-0000E2030000}"/>
    <cellStyle name="Обычный 28 4" xfId="304" xr:uid="{00000000-0005-0000-0000-0000E3030000}"/>
    <cellStyle name="Обычный 28 5" xfId="305" xr:uid="{00000000-0005-0000-0000-0000E4030000}"/>
    <cellStyle name="Обычный 28 6" xfId="306" xr:uid="{00000000-0005-0000-0000-0000E5030000}"/>
    <cellStyle name="Обычный 28 7" xfId="307" xr:uid="{00000000-0005-0000-0000-0000E6030000}"/>
    <cellStyle name="Обычный 29 2" xfId="308" xr:uid="{00000000-0005-0000-0000-0000E7030000}"/>
    <cellStyle name="Обычный 29 3" xfId="309" xr:uid="{00000000-0005-0000-0000-0000E8030000}"/>
    <cellStyle name="Обычный 29 4" xfId="310" xr:uid="{00000000-0005-0000-0000-0000E9030000}"/>
    <cellStyle name="Обычный 29 5" xfId="311" xr:uid="{00000000-0005-0000-0000-0000EA030000}"/>
    <cellStyle name="Обычный 29 6" xfId="312" xr:uid="{00000000-0005-0000-0000-0000EB030000}"/>
    <cellStyle name="Обычный 29 7" xfId="313" xr:uid="{00000000-0005-0000-0000-0000EC030000}"/>
    <cellStyle name="Обычный 3" xfId="314" xr:uid="{00000000-0005-0000-0000-0000ED030000}"/>
    <cellStyle name="Обычный 3 10" xfId="315" xr:uid="{00000000-0005-0000-0000-0000EE030000}"/>
    <cellStyle name="Обычный 3 11" xfId="316" xr:uid="{00000000-0005-0000-0000-0000EF030000}"/>
    <cellStyle name="Обычный 3 12" xfId="317" xr:uid="{00000000-0005-0000-0000-0000F0030000}"/>
    <cellStyle name="Обычный 3 13" xfId="318" xr:uid="{00000000-0005-0000-0000-0000F1030000}"/>
    <cellStyle name="Обычный 3 14" xfId="319" xr:uid="{00000000-0005-0000-0000-0000F2030000}"/>
    <cellStyle name="Обычный 3 15" xfId="802" xr:uid="{00000000-0005-0000-0000-0000F3030000}"/>
    <cellStyle name="Обычный 3 15 2" xfId="1322" xr:uid="{00000000-0005-0000-0000-0000F4030000}"/>
    <cellStyle name="Обычный 3 16" xfId="1041" xr:uid="{00000000-0005-0000-0000-0000F5030000}"/>
    <cellStyle name="Обычный 3 17" xfId="1421" xr:uid="{00000000-0005-0000-0000-0000F6030000}"/>
    <cellStyle name="Обычный 3 2" xfId="320" xr:uid="{00000000-0005-0000-0000-0000F7030000}"/>
    <cellStyle name="Обычный 3 2 2" xfId="1048" xr:uid="{00000000-0005-0000-0000-0000F8030000}"/>
    <cellStyle name="Обычный 3 2 2 2" xfId="1426" xr:uid="{00000000-0005-0000-0000-0000F9030000}"/>
    <cellStyle name="Обычный 3 2 3" xfId="1042" xr:uid="{00000000-0005-0000-0000-0000FA030000}"/>
    <cellStyle name="Обычный 3 2 4" xfId="1422" xr:uid="{00000000-0005-0000-0000-0000FB030000}"/>
    <cellStyle name="Обычный 3 2 5" xfId="1648" xr:uid="{00000000-0005-0000-0000-0000FC030000}"/>
    <cellStyle name="Обычный 3 3" xfId="321" xr:uid="{00000000-0005-0000-0000-0000FD030000}"/>
    <cellStyle name="Обычный 3 3 2" xfId="1047" xr:uid="{00000000-0005-0000-0000-0000FE030000}"/>
    <cellStyle name="Обычный 3 3 3" xfId="1425" xr:uid="{00000000-0005-0000-0000-0000FF030000}"/>
    <cellStyle name="Обычный 3 4" xfId="322" xr:uid="{00000000-0005-0000-0000-000000040000}"/>
    <cellStyle name="Обычный 3 5" xfId="323" xr:uid="{00000000-0005-0000-0000-000001040000}"/>
    <cellStyle name="Обычный 3 6" xfId="324" xr:uid="{00000000-0005-0000-0000-000002040000}"/>
    <cellStyle name="Обычный 3 7" xfId="325" xr:uid="{00000000-0005-0000-0000-000003040000}"/>
    <cellStyle name="Обычный 3 8" xfId="326" xr:uid="{00000000-0005-0000-0000-000004040000}"/>
    <cellStyle name="Обычный 3 9" xfId="327" xr:uid="{00000000-0005-0000-0000-000005040000}"/>
    <cellStyle name="Обычный 30 2" xfId="328" xr:uid="{00000000-0005-0000-0000-000006040000}"/>
    <cellStyle name="Обычный 30 3" xfId="329" xr:uid="{00000000-0005-0000-0000-000007040000}"/>
    <cellStyle name="Обычный 30 4" xfId="330" xr:uid="{00000000-0005-0000-0000-000008040000}"/>
    <cellStyle name="Обычный 30 5" xfId="331" xr:uid="{00000000-0005-0000-0000-000009040000}"/>
    <cellStyle name="Обычный 30 6" xfId="332" xr:uid="{00000000-0005-0000-0000-00000A040000}"/>
    <cellStyle name="Обычный 30 7" xfId="333" xr:uid="{00000000-0005-0000-0000-00000B040000}"/>
    <cellStyle name="Обычный 31 2" xfId="334" xr:uid="{00000000-0005-0000-0000-00000C040000}"/>
    <cellStyle name="Обычный 31 3" xfId="335" xr:uid="{00000000-0005-0000-0000-00000D040000}"/>
    <cellStyle name="Обычный 31 4" xfId="336" xr:uid="{00000000-0005-0000-0000-00000E040000}"/>
    <cellStyle name="Обычный 31 5" xfId="337" xr:uid="{00000000-0005-0000-0000-00000F040000}"/>
    <cellStyle name="Обычный 31 6" xfId="338" xr:uid="{00000000-0005-0000-0000-000010040000}"/>
    <cellStyle name="Обычный 31 7" xfId="339" xr:uid="{00000000-0005-0000-0000-000011040000}"/>
    <cellStyle name="Обычный 33 2" xfId="340" xr:uid="{00000000-0005-0000-0000-000012040000}"/>
    <cellStyle name="Обычный 33 3" xfId="341" xr:uid="{00000000-0005-0000-0000-000013040000}"/>
    <cellStyle name="Обычный 33 4" xfId="342" xr:uid="{00000000-0005-0000-0000-000014040000}"/>
    <cellStyle name="Обычный 33 5" xfId="343" xr:uid="{00000000-0005-0000-0000-000015040000}"/>
    <cellStyle name="Обычный 33 6" xfId="344" xr:uid="{00000000-0005-0000-0000-000016040000}"/>
    <cellStyle name="Обычный 33 7" xfId="345" xr:uid="{00000000-0005-0000-0000-000017040000}"/>
    <cellStyle name="Обычный 34 2" xfId="346" xr:uid="{00000000-0005-0000-0000-000018040000}"/>
    <cellStyle name="Обычный 34 3" xfId="347" xr:uid="{00000000-0005-0000-0000-000019040000}"/>
    <cellStyle name="Обычный 34 4" xfId="348" xr:uid="{00000000-0005-0000-0000-00001A040000}"/>
    <cellStyle name="Обычный 34 5" xfId="349" xr:uid="{00000000-0005-0000-0000-00001B040000}"/>
    <cellStyle name="Обычный 34 6" xfId="350" xr:uid="{00000000-0005-0000-0000-00001C040000}"/>
    <cellStyle name="Обычный 34 7" xfId="351" xr:uid="{00000000-0005-0000-0000-00001D040000}"/>
    <cellStyle name="Обычный 35 2" xfId="352" xr:uid="{00000000-0005-0000-0000-00001E040000}"/>
    <cellStyle name="Обычный 35 3" xfId="353" xr:uid="{00000000-0005-0000-0000-00001F040000}"/>
    <cellStyle name="Обычный 35 4" xfId="354" xr:uid="{00000000-0005-0000-0000-000020040000}"/>
    <cellStyle name="Обычный 35 5" xfId="355" xr:uid="{00000000-0005-0000-0000-000021040000}"/>
    <cellStyle name="Обычный 35 6" xfId="356" xr:uid="{00000000-0005-0000-0000-000022040000}"/>
    <cellStyle name="Обычный 35 7" xfId="357" xr:uid="{00000000-0005-0000-0000-000023040000}"/>
    <cellStyle name="Обычный 36" xfId="1323" xr:uid="{00000000-0005-0000-0000-000024040000}"/>
    <cellStyle name="Обычный 36 10" xfId="358" xr:uid="{00000000-0005-0000-0000-000025040000}"/>
    <cellStyle name="Обычный 36 11" xfId="359" xr:uid="{00000000-0005-0000-0000-000026040000}"/>
    <cellStyle name="Обычный 36 12" xfId="360" xr:uid="{00000000-0005-0000-0000-000027040000}"/>
    <cellStyle name="Обычный 36 13" xfId="361" xr:uid="{00000000-0005-0000-0000-000028040000}"/>
    <cellStyle name="Обычный 36 14" xfId="362" xr:uid="{00000000-0005-0000-0000-000029040000}"/>
    <cellStyle name="Обычный 36 2" xfId="363" xr:uid="{00000000-0005-0000-0000-00002A040000}"/>
    <cellStyle name="Обычный 36 3" xfId="364" xr:uid="{00000000-0005-0000-0000-00002B040000}"/>
    <cellStyle name="Обычный 36 4" xfId="365" xr:uid="{00000000-0005-0000-0000-00002C040000}"/>
    <cellStyle name="Обычный 36 5" xfId="366" xr:uid="{00000000-0005-0000-0000-00002D040000}"/>
    <cellStyle name="Обычный 36 6" xfId="367" xr:uid="{00000000-0005-0000-0000-00002E040000}"/>
    <cellStyle name="Обычный 36 7" xfId="368" xr:uid="{00000000-0005-0000-0000-00002F040000}"/>
    <cellStyle name="Обычный 36 8" xfId="369" xr:uid="{00000000-0005-0000-0000-000030040000}"/>
    <cellStyle name="Обычный 36 9" xfId="370" xr:uid="{00000000-0005-0000-0000-000031040000}"/>
    <cellStyle name="Обычный 37 2" xfId="371" xr:uid="{00000000-0005-0000-0000-000032040000}"/>
    <cellStyle name="Обычный 37 3" xfId="372" xr:uid="{00000000-0005-0000-0000-000033040000}"/>
    <cellStyle name="Обычный 37 4" xfId="373" xr:uid="{00000000-0005-0000-0000-000034040000}"/>
    <cellStyle name="Обычный 37 5" xfId="374" xr:uid="{00000000-0005-0000-0000-000035040000}"/>
    <cellStyle name="Обычный 37 6" xfId="375" xr:uid="{00000000-0005-0000-0000-000036040000}"/>
    <cellStyle name="Обычный 37 7" xfId="376" xr:uid="{00000000-0005-0000-0000-000037040000}"/>
    <cellStyle name="Обычный 38 2" xfId="377" xr:uid="{00000000-0005-0000-0000-000038040000}"/>
    <cellStyle name="Обычный 38 3" xfId="378" xr:uid="{00000000-0005-0000-0000-000039040000}"/>
    <cellStyle name="Обычный 38 4" xfId="379" xr:uid="{00000000-0005-0000-0000-00003A040000}"/>
    <cellStyle name="Обычный 38 5" xfId="380" xr:uid="{00000000-0005-0000-0000-00003B040000}"/>
    <cellStyle name="Обычный 38 6" xfId="381" xr:uid="{00000000-0005-0000-0000-00003C040000}"/>
    <cellStyle name="Обычный 38 7" xfId="382" xr:uid="{00000000-0005-0000-0000-00003D040000}"/>
    <cellStyle name="Обычный 39 2" xfId="383" xr:uid="{00000000-0005-0000-0000-00003E040000}"/>
    <cellStyle name="Обычный 39 3" xfId="384" xr:uid="{00000000-0005-0000-0000-00003F040000}"/>
    <cellStyle name="Обычный 39 4" xfId="385" xr:uid="{00000000-0005-0000-0000-000040040000}"/>
    <cellStyle name="Обычный 39 5" xfId="386" xr:uid="{00000000-0005-0000-0000-000041040000}"/>
    <cellStyle name="Обычный 39 6" xfId="387" xr:uid="{00000000-0005-0000-0000-000042040000}"/>
    <cellStyle name="Обычный 39 7" xfId="388" xr:uid="{00000000-0005-0000-0000-000043040000}"/>
    <cellStyle name="Обычный 4" xfId="807" xr:uid="{00000000-0005-0000-0000-000044040000}"/>
    <cellStyle name="Обычный 4 2" xfId="389" xr:uid="{00000000-0005-0000-0000-000045040000}"/>
    <cellStyle name="Обычный 4 2 2" xfId="866" xr:uid="{00000000-0005-0000-0000-000046040000}"/>
    <cellStyle name="Обычный 4 2 3" xfId="985" xr:uid="{00000000-0005-0000-0000-000047040000}"/>
    <cellStyle name="Обычный 4 2 4" xfId="1324" xr:uid="{00000000-0005-0000-0000-000048040000}"/>
    <cellStyle name="Обычный 4 2 5" xfId="1650" xr:uid="{00000000-0005-0000-0000-000049040000}"/>
    <cellStyle name="Обычный 4 2 6" xfId="1905" xr:uid="{00000000-0005-0000-0000-00004A040000}"/>
    <cellStyle name="Обычный 4 3" xfId="390" xr:uid="{00000000-0005-0000-0000-00004B040000}"/>
    <cellStyle name="Обычный 4 3 2" xfId="867" xr:uid="{00000000-0005-0000-0000-00004C040000}"/>
    <cellStyle name="Обычный 4 3 3" xfId="986" xr:uid="{00000000-0005-0000-0000-00004D040000}"/>
    <cellStyle name="Обычный 4 3 4" xfId="1325" xr:uid="{00000000-0005-0000-0000-00004E040000}"/>
    <cellStyle name="Обычный 4 3 5" xfId="1651" xr:uid="{00000000-0005-0000-0000-00004F040000}"/>
    <cellStyle name="Обычный 4 3 6" xfId="1906" xr:uid="{00000000-0005-0000-0000-000050040000}"/>
    <cellStyle name="Обычный 4 4" xfId="391" xr:uid="{00000000-0005-0000-0000-000051040000}"/>
    <cellStyle name="Обычный 4 4 2" xfId="868" xr:uid="{00000000-0005-0000-0000-000052040000}"/>
    <cellStyle name="Обычный 4 4 3" xfId="987" xr:uid="{00000000-0005-0000-0000-000053040000}"/>
    <cellStyle name="Обычный 4 4 4" xfId="1326" xr:uid="{00000000-0005-0000-0000-000054040000}"/>
    <cellStyle name="Обычный 4 4 5" xfId="1907" xr:uid="{00000000-0005-0000-0000-000055040000}"/>
    <cellStyle name="Обычный 4 5" xfId="392" xr:uid="{00000000-0005-0000-0000-000056040000}"/>
    <cellStyle name="Обычный 4 5 2" xfId="869" xr:uid="{00000000-0005-0000-0000-000057040000}"/>
    <cellStyle name="Обычный 4 5 3" xfId="988" xr:uid="{00000000-0005-0000-0000-000058040000}"/>
    <cellStyle name="Обычный 4 5 4" xfId="1327" xr:uid="{00000000-0005-0000-0000-000059040000}"/>
    <cellStyle name="Обычный 4 5 5" xfId="1908" xr:uid="{00000000-0005-0000-0000-00005A040000}"/>
    <cellStyle name="Обычный 4 6" xfId="393" xr:uid="{00000000-0005-0000-0000-00005B040000}"/>
    <cellStyle name="Обычный 4 6 2" xfId="870" xr:uid="{00000000-0005-0000-0000-00005C040000}"/>
    <cellStyle name="Обычный 4 6 3" xfId="989" xr:uid="{00000000-0005-0000-0000-00005D040000}"/>
    <cellStyle name="Обычный 4 6 4" xfId="1328" xr:uid="{00000000-0005-0000-0000-00005E040000}"/>
    <cellStyle name="Обычный 4 6 5" xfId="1909" xr:uid="{00000000-0005-0000-0000-00005F040000}"/>
    <cellStyle name="Обычный 4 7" xfId="394" xr:uid="{00000000-0005-0000-0000-000060040000}"/>
    <cellStyle name="Обычный 4 7 2" xfId="871" xr:uid="{00000000-0005-0000-0000-000061040000}"/>
    <cellStyle name="Обычный 4 7 3" xfId="990" xr:uid="{00000000-0005-0000-0000-000062040000}"/>
    <cellStyle name="Обычный 4 7 4" xfId="1329" xr:uid="{00000000-0005-0000-0000-000063040000}"/>
    <cellStyle name="Обычный 4 7 5" xfId="1910" xr:uid="{00000000-0005-0000-0000-000064040000}"/>
    <cellStyle name="Обычный 4 8" xfId="1649" xr:uid="{00000000-0005-0000-0000-000065040000}"/>
    <cellStyle name="Обычный 40 2" xfId="395" xr:uid="{00000000-0005-0000-0000-000066040000}"/>
    <cellStyle name="Обычный 40 3" xfId="396" xr:uid="{00000000-0005-0000-0000-000067040000}"/>
    <cellStyle name="Обычный 40 4" xfId="397" xr:uid="{00000000-0005-0000-0000-000068040000}"/>
    <cellStyle name="Обычный 40 5" xfId="398" xr:uid="{00000000-0005-0000-0000-000069040000}"/>
    <cellStyle name="Обычный 40 6" xfId="399" xr:uid="{00000000-0005-0000-0000-00006A040000}"/>
    <cellStyle name="Обычный 40 7" xfId="400" xr:uid="{00000000-0005-0000-0000-00006B040000}"/>
    <cellStyle name="Обычный 41 2" xfId="401" xr:uid="{00000000-0005-0000-0000-00006C040000}"/>
    <cellStyle name="Обычный 41 3" xfId="402" xr:uid="{00000000-0005-0000-0000-00006D040000}"/>
    <cellStyle name="Обычный 41 4" xfId="403" xr:uid="{00000000-0005-0000-0000-00006E040000}"/>
    <cellStyle name="Обычный 41 5" xfId="404" xr:uid="{00000000-0005-0000-0000-00006F040000}"/>
    <cellStyle name="Обычный 41 6" xfId="405" xr:uid="{00000000-0005-0000-0000-000070040000}"/>
    <cellStyle name="Обычный 41 7" xfId="406" xr:uid="{00000000-0005-0000-0000-000071040000}"/>
    <cellStyle name="Обычный 42 2" xfId="407" xr:uid="{00000000-0005-0000-0000-000072040000}"/>
    <cellStyle name="Обычный 42 3" xfId="408" xr:uid="{00000000-0005-0000-0000-000073040000}"/>
    <cellStyle name="Обычный 42 4" xfId="409" xr:uid="{00000000-0005-0000-0000-000074040000}"/>
    <cellStyle name="Обычный 42 5" xfId="410" xr:uid="{00000000-0005-0000-0000-000075040000}"/>
    <cellStyle name="Обычный 42 6" xfId="411" xr:uid="{00000000-0005-0000-0000-000076040000}"/>
    <cellStyle name="Обычный 42 7" xfId="412" xr:uid="{00000000-0005-0000-0000-000077040000}"/>
    <cellStyle name="Обычный 43 2" xfId="413" xr:uid="{00000000-0005-0000-0000-000078040000}"/>
    <cellStyle name="Обычный 43 3" xfId="414" xr:uid="{00000000-0005-0000-0000-000079040000}"/>
    <cellStyle name="Обычный 43 4" xfId="415" xr:uid="{00000000-0005-0000-0000-00007A040000}"/>
    <cellStyle name="Обычный 43 5" xfId="416" xr:uid="{00000000-0005-0000-0000-00007B040000}"/>
    <cellStyle name="Обычный 43 6" xfId="417" xr:uid="{00000000-0005-0000-0000-00007C040000}"/>
    <cellStyle name="Обычный 43 7" xfId="418" xr:uid="{00000000-0005-0000-0000-00007D040000}"/>
    <cellStyle name="Обычный 44 2" xfId="419" xr:uid="{00000000-0005-0000-0000-00007E040000}"/>
    <cellStyle name="Обычный 44 3" xfId="420" xr:uid="{00000000-0005-0000-0000-00007F040000}"/>
    <cellStyle name="Обычный 44 4" xfId="421" xr:uid="{00000000-0005-0000-0000-000080040000}"/>
    <cellStyle name="Обычный 44 5" xfId="422" xr:uid="{00000000-0005-0000-0000-000081040000}"/>
    <cellStyle name="Обычный 44 6" xfId="423" xr:uid="{00000000-0005-0000-0000-000082040000}"/>
    <cellStyle name="Обычный 44 7" xfId="424" xr:uid="{00000000-0005-0000-0000-000083040000}"/>
    <cellStyle name="Обычный 45 2" xfId="425" xr:uid="{00000000-0005-0000-0000-000084040000}"/>
    <cellStyle name="Обычный 45 3" xfId="426" xr:uid="{00000000-0005-0000-0000-000085040000}"/>
    <cellStyle name="Обычный 45 4" xfId="427" xr:uid="{00000000-0005-0000-0000-000086040000}"/>
    <cellStyle name="Обычный 45 5" xfId="428" xr:uid="{00000000-0005-0000-0000-000087040000}"/>
    <cellStyle name="Обычный 45 6" xfId="429" xr:uid="{00000000-0005-0000-0000-000088040000}"/>
    <cellStyle name="Обычный 45 7" xfId="430" xr:uid="{00000000-0005-0000-0000-000089040000}"/>
    <cellStyle name="Обычный 46 2" xfId="431" xr:uid="{00000000-0005-0000-0000-00008A040000}"/>
    <cellStyle name="Обычный 46 3" xfId="432" xr:uid="{00000000-0005-0000-0000-00008B040000}"/>
    <cellStyle name="Обычный 46 4" xfId="433" xr:uid="{00000000-0005-0000-0000-00008C040000}"/>
    <cellStyle name="Обычный 46 5" xfId="434" xr:uid="{00000000-0005-0000-0000-00008D040000}"/>
    <cellStyle name="Обычный 46 6" xfId="435" xr:uid="{00000000-0005-0000-0000-00008E040000}"/>
    <cellStyle name="Обычный 46 7" xfId="436" xr:uid="{00000000-0005-0000-0000-00008F040000}"/>
    <cellStyle name="Обычный 47 2" xfId="437" xr:uid="{00000000-0005-0000-0000-000090040000}"/>
    <cellStyle name="Обычный 47 3" xfId="438" xr:uid="{00000000-0005-0000-0000-000091040000}"/>
    <cellStyle name="Обычный 47 4" xfId="439" xr:uid="{00000000-0005-0000-0000-000092040000}"/>
    <cellStyle name="Обычный 47 5" xfId="440" xr:uid="{00000000-0005-0000-0000-000093040000}"/>
    <cellStyle name="Обычный 47 6" xfId="441" xr:uid="{00000000-0005-0000-0000-000094040000}"/>
    <cellStyle name="Обычный 47 7" xfId="442" xr:uid="{00000000-0005-0000-0000-000095040000}"/>
    <cellStyle name="Обычный 48 2" xfId="443" xr:uid="{00000000-0005-0000-0000-000096040000}"/>
    <cellStyle name="Обычный 48 3" xfId="444" xr:uid="{00000000-0005-0000-0000-000097040000}"/>
    <cellStyle name="Обычный 48 4" xfId="445" xr:uid="{00000000-0005-0000-0000-000098040000}"/>
    <cellStyle name="Обычный 48 5" xfId="446" xr:uid="{00000000-0005-0000-0000-000099040000}"/>
    <cellStyle name="Обычный 48 6" xfId="447" xr:uid="{00000000-0005-0000-0000-00009A040000}"/>
    <cellStyle name="Обычный 48 7" xfId="448" xr:uid="{00000000-0005-0000-0000-00009B040000}"/>
    <cellStyle name="Обычный 49 2" xfId="449" xr:uid="{00000000-0005-0000-0000-00009C040000}"/>
    <cellStyle name="Обычный 49 3" xfId="450" xr:uid="{00000000-0005-0000-0000-00009D040000}"/>
    <cellStyle name="Обычный 49 4" xfId="451" xr:uid="{00000000-0005-0000-0000-00009E040000}"/>
    <cellStyle name="Обычный 49 5" xfId="452" xr:uid="{00000000-0005-0000-0000-00009F040000}"/>
    <cellStyle name="Обычный 49 6" xfId="453" xr:uid="{00000000-0005-0000-0000-0000A0040000}"/>
    <cellStyle name="Обычный 49 7" xfId="454" xr:uid="{00000000-0005-0000-0000-0000A1040000}"/>
    <cellStyle name="Обычный 5" xfId="924" xr:uid="{00000000-0005-0000-0000-0000A2040000}"/>
    <cellStyle name="Обычный 5 2" xfId="455" xr:uid="{00000000-0005-0000-0000-0000A3040000}"/>
    <cellStyle name="Обычный 5 2 2" xfId="872" xr:uid="{00000000-0005-0000-0000-0000A4040000}"/>
    <cellStyle name="Обычный 5 2 3" xfId="991" xr:uid="{00000000-0005-0000-0000-0000A5040000}"/>
    <cellStyle name="Обычный 5 2 4" xfId="1049" xr:uid="{00000000-0005-0000-0000-0000A6040000}"/>
    <cellStyle name="Обычный 5 2 5" xfId="1427" xr:uid="{00000000-0005-0000-0000-0000A7040000}"/>
    <cellStyle name="Обычный 5 2 6" xfId="1652" xr:uid="{00000000-0005-0000-0000-0000A8040000}"/>
    <cellStyle name="Обычный 5 2 7" xfId="1911" xr:uid="{00000000-0005-0000-0000-0000A9040000}"/>
    <cellStyle name="Обычный 5 3" xfId="456" xr:uid="{00000000-0005-0000-0000-0000AA040000}"/>
    <cellStyle name="Обычный 5 3 2" xfId="873" xr:uid="{00000000-0005-0000-0000-0000AB040000}"/>
    <cellStyle name="Обычный 5 3 3" xfId="992" xr:uid="{00000000-0005-0000-0000-0000AC040000}"/>
    <cellStyle name="Обычный 5 3 4" xfId="1330" xr:uid="{00000000-0005-0000-0000-0000AD040000}"/>
    <cellStyle name="Обычный 5 3 5" xfId="1653" xr:uid="{00000000-0005-0000-0000-0000AE040000}"/>
    <cellStyle name="Обычный 5 3 6" xfId="1912" xr:uid="{00000000-0005-0000-0000-0000AF040000}"/>
    <cellStyle name="Обычный 5 4" xfId="457" xr:uid="{00000000-0005-0000-0000-0000B0040000}"/>
    <cellStyle name="Обычный 5 4 2" xfId="874" xr:uid="{00000000-0005-0000-0000-0000B1040000}"/>
    <cellStyle name="Обычный 5 4 3" xfId="993" xr:uid="{00000000-0005-0000-0000-0000B2040000}"/>
    <cellStyle name="Обычный 5 4 4" xfId="1331" xr:uid="{00000000-0005-0000-0000-0000B3040000}"/>
    <cellStyle name="Обычный 5 4 5" xfId="1913" xr:uid="{00000000-0005-0000-0000-0000B4040000}"/>
    <cellStyle name="Обычный 5 5" xfId="458" xr:uid="{00000000-0005-0000-0000-0000B5040000}"/>
    <cellStyle name="Обычный 5 5 2" xfId="875" xr:uid="{00000000-0005-0000-0000-0000B6040000}"/>
    <cellStyle name="Обычный 5 5 3" xfId="994" xr:uid="{00000000-0005-0000-0000-0000B7040000}"/>
    <cellStyle name="Обычный 5 5 4" xfId="1332" xr:uid="{00000000-0005-0000-0000-0000B8040000}"/>
    <cellStyle name="Обычный 5 5 5" xfId="1914" xr:uid="{00000000-0005-0000-0000-0000B9040000}"/>
    <cellStyle name="Обычный 5 6" xfId="459" xr:uid="{00000000-0005-0000-0000-0000BA040000}"/>
    <cellStyle name="Обычный 5 6 2" xfId="876" xr:uid="{00000000-0005-0000-0000-0000BB040000}"/>
    <cellStyle name="Обычный 5 6 3" xfId="995" xr:uid="{00000000-0005-0000-0000-0000BC040000}"/>
    <cellStyle name="Обычный 5 6 4" xfId="1333" xr:uid="{00000000-0005-0000-0000-0000BD040000}"/>
    <cellStyle name="Обычный 5 6 5" xfId="1915" xr:uid="{00000000-0005-0000-0000-0000BE040000}"/>
    <cellStyle name="Обычный 5 7" xfId="460" xr:uid="{00000000-0005-0000-0000-0000BF040000}"/>
    <cellStyle name="Обычный 5 7 2" xfId="877" xr:uid="{00000000-0005-0000-0000-0000C0040000}"/>
    <cellStyle name="Обычный 5 7 3" xfId="996" xr:uid="{00000000-0005-0000-0000-0000C1040000}"/>
    <cellStyle name="Обычный 5 7 4" xfId="1334" xr:uid="{00000000-0005-0000-0000-0000C2040000}"/>
    <cellStyle name="Обычный 5 7 5" xfId="1916" xr:uid="{00000000-0005-0000-0000-0000C3040000}"/>
    <cellStyle name="Обычный 5 8" xfId="1043" xr:uid="{00000000-0005-0000-0000-0000C4040000}"/>
    <cellStyle name="Обычный 5 9" xfId="1423" xr:uid="{00000000-0005-0000-0000-0000C5040000}"/>
    <cellStyle name="Обычный 50 2" xfId="461" xr:uid="{00000000-0005-0000-0000-0000C6040000}"/>
    <cellStyle name="Обычный 50 3" xfId="462" xr:uid="{00000000-0005-0000-0000-0000C7040000}"/>
    <cellStyle name="Обычный 50 4" xfId="463" xr:uid="{00000000-0005-0000-0000-0000C8040000}"/>
    <cellStyle name="Обычный 50 5" xfId="464" xr:uid="{00000000-0005-0000-0000-0000C9040000}"/>
    <cellStyle name="Обычный 50 6" xfId="465" xr:uid="{00000000-0005-0000-0000-0000CA040000}"/>
    <cellStyle name="Обычный 50 7" xfId="466" xr:uid="{00000000-0005-0000-0000-0000CB040000}"/>
    <cellStyle name="Обычный 51 2" xfId="467" xr:uid="{00000000-0005-0000-0000-0000CC040000}"/>
    <cellStyle name="Обычный 51 3" xfId="468" xr:uid="{00000000-0005-0000-0000-0000CD040000}"/>
    <cellStyle name="Обычный 51 4" xfId="469" xr:uid="{00000000-0005-0000-0000-0000CE040000}"/>
    <cellStyle name="Обычный 51 5" xfId="470" xr:uid="{00000000-0005-0000-0000-0000CF040000}"/>
    <cellStyle name="Обычный 51 6" xfId="471" xr:uid="{00000000-0005-0000-0000-0000D0040000}"/>
    <cellStyle name="Обычный 51 7" xfId="472" xr:uid="{00000000-0005-0000-0000-0000D1040000}"/>
    <cellStyle name="Обычный 52 2" xfId="473" xr:uid="{00000000-0005-0000-0000-0000D2040000}"/>
    <cellStyle name="Обычный 52 3" xfId="474" xr:uid="{00000000-0005-0000-0000-0000D3040000}"/>
    <cellStyle name="Обычный 52 4" xfId="475" xr:uid="{00000000-0005-0000-0000-0000D4040000}"/>
    <cellStyle name="Обычный 52 5" xfId="476" xr:uid="{00000000-0005-0000-0000-0000D5040000}"/>
    <cellStyle name="Обычный 52 6" xfId="477" xr:uid="{00000000-0005-0000-0000-0000D6040000}"/>
    <cellStyle name="Обычный 52 7" xfId="478" xr:uid="{00000000-0005-0000-0000-0000D7040000}"/>
    <cellStyle name="Обычный 53 2" xfId="479" xr:uid="{00000000-0005-0000-0000-0000D8040000}"/>
    <cellStyle name="Обычный 53 3" xfId="480" xr:uid="{00000000-0005-0000-0000-0000D9040000}"/>
    <cellStyle name="Обычный 53 4" xfId="481" xr:uid="{00000000-0005-0000-0000-0000DA040000}"/>
    <cellStyle name="Обычный 53 5" xfId="482" xr:uid="{00000000-0005-0000-0000-0000DB040000}"/>
    <cellStyle name="Обычный 53 6" xfId="483" xr:uid="{00000000-0005-0000-0000-0000DC040000}"/>
    <cellStyle name="Обычный 53 7" xfId="484" xr:uid="{00000000-0005-0000-0000-0000DD040000}"/>
    <cellStyle name="Обычный 54 2" xfId="485" xr:uid="{00000000-0005-0000-0000-0000DE040000}"/>
    <cellStyle name="Обычный 54 3" xfId="486" xr:uid="{00000000-0005-0000-0000-0000DF040000}"/>
    <cellStyle name="Обычный 54 4" xfId="487" xr:uid="{00000000-0005-0000-0000-0000E0040000}"/>
    <cellStyle name="Обычный 54 5" xfId="488" xr:uid="{00000000-0005-0000-0000-0000E1040000}"/>
    <cellStyle name="Обычный 54 6" xfId="489" xr:uid="{00000000-0005-0000-0000-0000E2040000}"/>
    <cellStyle name="Обычный 54 7" xfId="490" xr:uid="{00000000-0005-0000-0000-0000E3040000}"/>
    <cellStyle name="Обычный 55 2" xfId="491" xr:uid="{00000000-0005-0000-0000-0000E4040000}"/>
    <cellStyle name="Обычный 55 3" xfId="492" xr:uid="{00000000-0005-0000-0000-0000E5040000}"/>
    <cellStyle name="Обычный 55 4" xfId="493" xr:uid="{00000000-0005-0000-0000-0000E6040000}"/>
    <cellStyle name="Обычный 55 5" xfId="494" xr:uid="{00000000-0005-0000-0000-0000E7040000}"/>
    <cellStyle name="Обычный 55 6" xfId="495" xr:uid="{00000000-0005-0000-0000-0000E8040000}"/>
    <cellStyle name="Обычный 55 7" xfId="496" xr:uid="{00000000-0005-0000-0000-0000E9040000}"/>
    <cellStyle name="Обычный 56 2" xfId="497" xr:uid="{00000000-0005-0000-0000-0000EA040000}"/>
    <cellStyle name="Обычный 56 3" xfId="498" xr:uid="{00000000-0005-0000-0000-0000EB040000}"/>
    <cellStyle name="Обычный 56 4" xfId="499" xr:uid="{00000000-0005-0000-0000-0000EC040000}"/>
    <cellStyle name="Обычный 56 5" xfId="500" xr:uid="{00000000-0005-0000-0000-0000ED040000}"/>
    <cellStyle name="Обычный 56 6" xfId="501" xr:uid="{00000000-0005-0000-0000-0000EE040000}"/>
    <cellStyle name="Обычный 56 7" xfId="502" xr:uid="{00000000-0005-0000-0000-0000EF040000}"/>
    <cellStyle name="Обычный 57 2" xfId="503" xr:uid="{00000000-0005-0000-0000-0000F0040000}"/>
    <cellStyle name="Обычный 57 3" xfId="504" xr:uid="{00000000-0005-0000-0000-0000F1040000}"/>
    <cellStyle name="Обычный 57 4" xfId="505" xr:uid="{00000000-0005-0000-0000-0000F2040000}"/>
    <cellStyle name="Обычный 57 5" xfId="506" xr:uid="{00000000-0005-0000-0000-0000F3040000}"/>
    <cellStyle name="Обычный 57 6" xfId="507" xr:uid="{00000000-0005-0000-0000-0000F4040000}"/>
    <cellStyle name="Обычный 57 7" xfId="508" xr:uid="{00000000-0005-0000-0000-0000F5040000}"/>
    <cellStyle name="Обычный 58 2" xfId="509" xr:uid="{00000000-0005-0000-0000-0000F6040000}"/>
    <cellStyle name="Обычный 58 3" xfId="510" xr:uid="{00000000-0005-0000-0000-0000F7040000}"/>
    <cellStyle name="Обычный 58 4" xfId="511" xr:uid="{00000000-0005-0000-0000-0000F8040000}"/>
    <cellStyle name="Обычный 58 5" xfId="512" xr:uid="{00000000-0005-0000-0000-0000F9040000}"/>
    <cellStyle name="Обычный 58 6" xfId="513" xr:uid="{00000000-0005-0000-0000-0000FA040000}"/>
    <cellStyle name="Обычный 58 7" xfId="514" xr:uid="{00000000-0005-0000-0000-0000FB040000}"/>
    <cellStyle name="Обычный 59 2" xfId="515" xr:uid="{00000000-0005-0000-0000-0000FC040000}"/>
    <cellStyle name="Обычный 59 3" xfId="516" xr:uid="{00000000-0005-0000-0000-0000FD040000}"/>
    <cellStyle name="Обычный 59 4" xfId="517" xr:uid="{00000000-0005-0000-0000-0000FE040000}"/>
    <cellStyle name="Обычный 59 5" xfId="518" xr:uid="{00000000-0005-0000-0000-0000FF040000}"/>
    <cellStyle name="Обычный 59 6" xfId="519" xr:uid="{00000000-0005-0000-0000-000000050000}"/>
    <cellStyle name="Обычный 59 7" xfId="520" xr:uid="{00000000-0005-0000-0000-000001050000}"/>
    <cellStyle name="Обычный 6" xfId="521" xr:uid="{00000000-0005-0000-0000-000002050000}"/>
    <cellStyle name="Обычный 6 2" xfId="522" xr:uid="{00000000-0005-0000-0000-000003050000}"/>
    <cellStyle name="Обычный 6 2 2" xfId="878" xr:uid="{00000000-0005-0000-0000-000004050000}"/>
    <cellStyle name="Обычный 6 2 3" xfId="997" xr:uid="{00000000-0005-0000-0000-000005050000}"/>
    <cellStyle name="Обычный 6 2 4" xfId="1335" xr:uid="{00000000-0005-0000-0000-000006050000}"/>
    <cellStyle name="Обычный 6 2 5" xfId="1917" xr:uid="{00000000-0005-0000-0000-000007050000}"/>
    <cellStyle name="Обычный 6 3" xfId="523" xr:uid="{00000000-0005-0000-0000-000008050000}"/>
    <cellStyle name="Обычный 6 3 2" xfId="879" xr:uid="{00000000-0005-0000-0000-000009050000}"/>
    <cellStyle name="Обычный 6 3 3" xfId="998" xr:uid="{00000000-0005-0000-0000-00000A050000}"/>
    <cellStyle name="Обычный 6 3 4" xfId="1336" xr:uid="{00000000-0005-0000-0000-00000B050000}"/>
    <cellStyle name="Обычный 6 3 5" xfId="1918" xr:uid="{00000000-0005-0000-0000-00000C050000}"/>
    <cellStyle name="Обычный 6 4" xfId="524" xr:uid="{00000000-0005-0000-0000-00000D050000}"/>
    <cellStyle name="Обычный 6 4 2" xfId="880" xr:uid="{00000000-0005-0000-0000-00000E050000}"/>
    <cellStyle name="Обычный 6 4 3" xfId="999" xr:uid="{00000000-0005-0000-0000-00000F050000}"/>
    <cellStyle name="Обычный 6 4 4" xfId="1337" xr:uid="{00000000-0005-0000-0000-000010050000}"/>
    <cellStyle name="Обычный 6 4 5" xfId="1919" xr:uid="{00000000-0005-0000-0000-000011050000}"/>
    <cellStyle name="Обычный 6 5" xfId="525" xr:uid="{00000000-0005-0000-0000-000012050000}"/>
    <cellStyle name="Обычный 6 5 2" xfId="881" xr:uid="{00000000-0005-0000-0000-000013050000}"/>
    <cellStyle name="Обычный 6 5 3" xfId="1000" xr:uid="{00000000-0005-0000-0000-000014050000}"/>
    <cellStyle name="Обычный 6 5 4" xfId="1338" xr:uid="{00000000-0005-0000-0000-000015050000}"/>
    <cellStyle name="Обычный 6 5 5" xfId="1920" xr:uid="{00000000-0005-0000-0000-000016050000}"/>
    <cellStyle name="Обычный 6 6" xfId="526" xr:uid="{00000000-0005-0000-0000-000017050000}"/>
    <cellStyle name="Обычный 6 6 2" xfId="882" xr:uid="{00000000-0005-0000-0000-000018050000}"/>
    <cellStyle name="Обычный 6 6 3" xfId="1001" xr:uid="{00000000-0005-0000-0000-000019050000}"/>
    <cellStyle name="Обычный 6 6 4" xfId="1339" xr:uid="{00000000-0005-0000-0000-00001A050000}"/>
    <cellStyle name="Обычный 6 6 5" xfId="1921" xr:uid="{00000000-0005-0000-0000-00001B050000}"/>
    <cellStyle name="Обычный 6 7" xfId="527" xr:uid="{00000000-0005-0000-0000-00001C050000}"/>
    <cellStyle name="Обычный 6 7 2" xfId="883" xr:uid="{00000000-0005-0000-0000-00001D050000}"/>
    <cellStyle name="Обычный 6 7 3" xfId="1002" xr:uid="{00000000-0005-0000-0000-00001E050000}"/>
    <cellStyle name="Обычный 6 7 4" xfId="1340" xr:uid="{00000000-0005-0000-0000-00001F050000}"/>
    <cellStyle name="Обычный 6 7 5" xfId="1922" xr:uid="{00000000-0005-0000-0000-000020050000}"/>
    <cellStyle name="Обычный 6 8" xfId="1046" xr:uid="{00000000-0005-0000-0000-000021050000}"/>
    <cellStyle name="Обычный 6 9" xfId="1654" xr:uid="{00000000-0005-0000-0000-000022050000}"/>
    <cellStyle name="Обычный 60 2" xfId="528" xr:uid="{00000000-0005-0000-0000-000023050000}"/>
    <cellStyle name="Обычный 60 3" xfId="529" xr:uid="{00000000-0005-0000-0000-000024050000}"/>
    <cellStyle name="Обычный 60 4" xfId="530" xr:uid="{00000000-0005-0000-0000-000025050000}"/>
    <cellStyle name="Обычный 60 5" xfId="531" xr:uid="{00000000-0005-0000-0000-000026050000}"/>
    <cellStyle name="Обычный 60 6" xfId="532" xr:uid="{00000000-0005-0000-0000-000027050000}"/>
    <cellStyle name="Обычный 60 7" xfId="533" xr:uid="{00000000-0005-0000-0000-000028050000}"/>
    <cellStyle name="Обычный 61 2" xfId="534" xr:uid="{00000000-0005-0000-0000-000029050000}"/>
    <cellStyle name="Обычный 61 3" xfId="535" xr:uid="{00000000-0005-0000-0000-00002A050000}"/>
    <cellStyle name="Обычный 61 4" xfId="536" xr:uid="{00000000-0005-0000-0000-00002B050000}"/>
    <cellStyle name="Обычный 61 5" xfId="537" xr:uid="{00000000-0005-0000-0000-00002C050000}"/>
    <cellStyle name="Обычный 61 6" xfId="538" xr:uid="{00000000-0005-0000-0000-00002D050000}"/>
    <cellStyle name="Обычный 61 7" xfId="539" xr:uid="{00000000-0005-0000-0000-00002E050000}"/>
    <cellStyle name="Обычный 62 2" xfId="540" xr:uid="{00000000-0005-0000-0000-00002F050000}"/>
    <cellStyle name="Обычный 62 3" xfId="541" xr:uid="{00000000-0005-0000-0000-000030050000}"/>
    <cellStyle name="Обычный 62 4" xfId="542" xr:uid="{00000000-0005-0000-0000-000031050000}"/>
    <cellStyle name="Обычный 62 5" xfId="543" xr:uid="{00000000-0005-0000-0000-000032050000}"/>
    <cellStyle name="Обычный 62 6" xfId="544" xr:uid="{00000000-0005-0000-0000-000033050000}"/>
    <cellStyle name="Обычный 62 7" xfId="545" xr:uid="{00000000-0005-0000-0000-000034050000}"/>
    <cellStyle name="Обычный 63 2" xfId="546" xr:uid="{00000000-0005-0000-0000-000035050000}"/>
    <cellStyle name="Обычный 63 3" xfId="547" xr:uid="{00000000-0005-0000-0000-000036050000}"/>
    <cellStyle name="Обычный 63 4" xfId="548" xr:uid="{00000000-0005-0000-0000-000037050000}"/>
    <cellStyle name="Обычный 63 5" xfId="549" xr:uid="{00000000-0005-0000-0000-000038050000}"/>
    <cellStyle name="Обычный 63 6" xfId="550" xr:uid="{00000000-0005-0000-0000-000039050000}"/>
    <cellStyle name="Обычный 63 7" xfId="551" xr:uid="{00000000-0005-0000-0000-00003A050000}"/>
    <cellStyle name="Обычный 64 2" xfId="552" xr:uid="{00000000-0005-0000-0000-00003B050000}"/>
    <cellStyle name="Обычный 64 3" xfId="553" xr:uid="{00000000-0005-0000-0000-00003C050000}"/>
    <cellStyle name="Обычный 64 4" xfId="554" xr:uid="{00000000-0005-0000-0000-00003D050000}"/>
    <cellStyle name="Обычный 64 5" xfId="555" xr:uid="{00000000-0005-0000-0000-00003E050000}"/>
    <cellStyle name="Обычный 64 6" xfId="556" xr:uid="{00000000-0005-0000-0000-00003F050000}"/>
    <cellStyle name="Обычный 64 7" xfId="557" xr:uid="{00000000-0005-0000-0000-000040050000}"/>
    <cellStyle name="Обычный 65 2" xfId="558" xr:uid="{00000000-0005-0000-0000-000041050000}"/>
    <cellStyle name="Обычный 65 3" xfId="559" xr:uid="{00000000-0005-0000-0000-000042050000}"/>
    <cellStyle name="Обычный 65 4" xfId="560" xr:uid="{00000000-0005-0000-0000-000043050000}"/>
    <cellStyle name="Обычный 65 5" xfId="561" xr:uid="{00000000-0005-0000-0000-000044050000}"/>
    <cellStyle name="Обычный 65 6" xfId="562" xr:uid="{00000000-0005-0000-0000-000045050000}"/>
    <cellStyle name="Обычный 65 7" xfId="563" xr:uid="{00000000-0005-0000-0000-000046050000}"/>
    <cellStyle name="Обычный 66 2" xfId="564" xr:uid="{00000000-0005-0000-0000-000047050000}"/>
    <cellStyle name="Обычный 66 3" xfId="565" xr:uid="{00000000-0005-0000-0000-000048050000}"/>
    <cellStyle name="Обычный 66 4" xfId="566" xr:uid="{00000000-0005-0000-0000-000049050000}"/>
    <cellStyle name="Обычный 66 5" xfId="567" xr:uid="{00000000-0005-0000-0000-00004A050000}"/>
    <cellStyle name="Обычный 66 6" xfId="568" xr:uid="{00000000-0005-0000-0000-00004B050000}"/>
    <cellStyle name="Обычный 66 7" xfId="569" xr:uid="{00000000-0005-0000-0000-00004C050000}"/>
    <cellStyle name="Обычный 67 2" xfId="570" xr:uid="{00000000-0005-0000-0000-00004D050000}"/>
    <cellStyle name="Обычный 67 3" xfId="571" xr:uid="{00000000-0005-0000-0000-00004E050000}"/>
    <cellStyle name="Обычный 67 4" xfId="572" xr:uid="{00000000-0005-0000-0000-00004F050000}"/>
    <cellStyle name="Обычный 67 5" xfId="573" xr:uid="{00000000-0005-0000-0000-000050050000}"/>
    <cellStyle name="Обычный 67 6" xfId="574" xr:uid="{00000000-0005-0000-0000-000051050000}"/>
    <cellStyle name="Обычный 67 7" xfId="575" xr:uid="{00000000-0005-0000-0000-000052050000}"/>
    <cellStyle name="Обычный 68 2" xfId="576" xr:uid="{00000000-0005-0000-0000-000053050000}"/>
    <cellStyle name="Обычный 68 3" xfId="577" xr:uid="{00000000-0005-0000-0000-000054050000}"/>
    <cellStyle name="Обычный 68 4" xfId="578" xr:uid="{00000000-0005-0000-0000-000055050000}"/>
    <cellStyle name="Обычный 68 5" xfId="579" xr:uid="{00000000-0005-0000-0000-000056050000}"/>
    <cellStyle name="Обычный 68 6" xfId="580" xr:uid="{00000000-0005-0000-0000-000057050000}"/>
    <cellStyle name="Обычный 68 7" xfId="581" xr:uid="{00000000-0005-0000-0000-000058050000}"/>
    <cellStyle name="Обычный 69 2" xfId="582" xr:uid="{00000000-0005-0000-0000-000059050000}"/>
    <cellStyle name="Обычный 69 3" xfId="583" xr:uid="{00000000-0005-0000-0000-00005A050000}"/>
    <cellStyle name="Обычный 69 4" xfId="584" xr:uid="{00000000-0005-0000-0000-00005B050000}"/>
    <cellStyle name="Обычный 69 5" xfId="585" xr:uid="{00000000-0005-0000-0000-00005C050000}"/>
    <cellStyle name="Обычный 69 6" xfId="586" xr:uid="{00000000-0005-0000-0000-00005D050000}"/>
    <cellStyle name="Обычный 69 7" xfId="587" xr:uid="{00000000-0005-0000-0000-00005E050000}"/>
    <cellStyle name="Обычный 7" xfId="1045" xr:uid="{00000000-0005-0000-0000-00005F050000}"/>
    <cellStyle name="Обычный 7 10" xfId="588" xr:uid="{00000000-0005-0000-0000-000060050000}"/>
    <cellStyle name="Обычный 7 10 2" xfId="884" xr:uid="{00000000-0005-0000-0000-000061050000}"/>
    <cellStyle name="Обычный 7 10 3" xfId="1003" xr:uid="{00000000-0005-0000-0000-000062050000}"/>
    <cellStyle name="Обычный 7 10 4" xfId="1341" xr:uid="{00000000-0005-0000-0000-000063050000}"/>
    <cellStyle name="Обычный 7 10 5" xfId="1923" xr:uid="{00000000-0005-0000-0000-000064050000}"/>
    <cellStyle name="Обычный 7 11" xfId="1424" xr:uid="{00000000-0005-0000-0000-000065050000}"/>
    <cellStyle name="Обычный 7 12" xfId="1655" xr:uid="{00000000-0005-0000-0000-000066050000}"/>
    <cellStyle name="Обычный 7 2" xfId="589" xr:uid="{00000000-0005-0000-0000-000067050000}"/>
    <cellStyle name="Обычный 7 2 2" xfId="885" xr:uid="{00000000-0005-0000-0000-000068050000}"/>
    <cellStyle name="Обычный 7 2 2 2" xfId="1657" xr:uid="{00000000-0005-0000-0000-000069050000}"/>
    <cellStyle name="Обычный 7 2 3" xfId="1004" xr:uid="{00000000-0005-0000-0000-00006A050000}"/>
    <cellStyle name="Обычный 7 2 4" xfId="1342" xr:uid="{00000000-0005-0000-0000-00006B050000}"/>
    <cellStyle name="Обычный 7 2 5" xfId="1656" xr:uid="{00000000-0005-0000-0000-00006C050000}"/>
    <cellStyle name="Обычный 7 2 6" xfId="1924" xr:uid="{00000000-0005-0000-0000-00006D050000}"/>
    <cellStyle name="Обычный 7 3" xfId="590" xr:uid="{00000000-0005-0000-0000-00006E050000}"/>
    <cellStyle name="Обычный 7 3 2" xfId="886" xr:uid="{00000000-0005-0000-0000-00006F050000}"/>
    <cellStyle name="Обычный 7 3 3" xfId="1005" xr:uid="{00000000-0005-0000-0000-000070050000}"/>
    <cellStyle name="Обычный 7 3 4" xfId="1343" xr:uid="{00000000-0005-0000-0000-000071050000}"/>
    <cellStyle name="Обычный 7 3 5" xfId="1925" xr:uid="{00000000-0005-0000-0000-000072050000}"/>
    <cellStyle name="Обычный 7 4" xfId="591" xr:uid="{00000000-0005-0000-0000-000073050000}"/>
    <cellStyle name="Обычный 7 4 2" xfId="887" xr:uid="{00000000-0005-0000-0000-000074050000}"/>
    <cellStyle name="Обычный 7 4 3" xfId="1006" xr:uid="{00000000-0005-0000-0000-000075050000}"/>
    <cellStyle name="Обычный 7 4 4" xfId="1344" xr:uid="{00000000-0005-0000-0000-000076050000}"/>
    <cellStyle name="Обычный 7 4 5" xfId="1926" xr:uid="{00000000-0005-0000-0000-000077050000}"/>
    <cellStyle name="Обычный 7 5" xfId="592" xr:uid="{00000000-0005-0000-0000-000078050000}"/>
    <cellStyle name="Обычный 7 5 2" xfId="888" xr:uid="{00000000-0005-0000-0000-000079050000}"/>
    <cellStyle name="Обычный 7 5 3" xfId="1007" xr:uid="{00000000-0005-0000-0000-00007A050000}"/>
    <cellStyle name="Обычный 7 5 4" xfId="1345" xr:uid="{00000000-0005-0000-0000-00007B050000}"/>
    <cellStyle name="Обычный 7 5 5" xfId="1927" xr:uid="{00000000-0005-0000-0000-00007C050000}"/>
    <cellStyle name="Обычный 7 6" xfId="593" xr:uid="{00000000-0005-0000-0000-00007D050000}"/>
    <cellStyle name="Обычный 7 6 2" xfId="889" xr:uid="{00000000-0005-0000-0000-00007E050000}"/>
    <cellStyle name="Обычный 7 6 3" xfId="1008" xr:uid="{00000000-0005-0000-0000-00007F050000}"/>
    <cellStyle name="Обычный 7 6 4" xfId="1346" xr:uid="{00000000-0005-0000-0000-000080050000}"/>
    <cellStyle name="Обычный 7 6 5" xfId="1928" xr:uid="{00000000-0005-0000-0000-000081050000}"/>
    <cellStyle name="Обычный 7 7" xfId="594" xr:uid="{00000000-0005-0000-0000-000082050000}"/>
    <cellStyle name="Обычный 7 7 2" xfId="890" xr:uid="{00000000-0005-0000-0000-000083050000}"/>
    <cellStyle name="Обычный 7 7 3" xfId="1009" xr:uid="{00000000-0005-0000-0000-000084050000}"/>
    <cellStyle name="Обычный 7 7 4" xfId="1347" xr:uid="{00000000-0005-0000-0000-000085050000}"/>
    <cellStyle name="Обычный 7 7 5" xfId="1929" xr:uid="{00000000-0005-0000-0000-000086050000}"/>
    <cellStyle name="Обычный 7 8" xfId="595" xr:uid="{00000000-0005-0000-0000-000087050000}"/>
    <cellStyle name="Обычный 7 8 2" xfId="891" xr:uid="{00000000-0005-0000-0000-000088050000}"/>
    <cellStyle name="Обычный 7 8 3" xfId="1010" xr:uid="{00000000-0005-0000-0000-000089050000}"/>
    <cellStyle name="Обычный 7 8 4" xfId="1348" xr:uid="{00000000-0005-0000-0000-00008A050000}"/>
    <cellStyle name="Обычный 7 8 5" xfId="1930" xr:uid="{00000000-0005-0000-0000-00008B050000}"/>
    <cellStyle name="Обычный 7 9" xfId="596" xr:uid="{00000000-0005-0000-0000-00008C050000}"/>
    <cellStyle name="Обычный 7 9 2" xfId="892" xr:uid="{00000000-0005-0000-0000-00008D050000}"/>
    <cellStyle name="Обычный 7 9 3" xfId="1011" xr:uid="{00000000-0005-0000-0000-00008E050000}"/>
    <cellStyle name="Обычный 7 9 4" xfId="1349" xr:uid="{00000000-0005-0000-0000-00008F050000}"/>
    <cellStyle name="Обычный 7 9 5" xfId="1931" xr:uid="{00000000-0005-0000-0000-000090050000}"/>
    <cellStyle name="Обычный 70 2" xfId="597" xr:uid="{00000000-0005-0000-0000-000091050000}"/>
    <cellStyle name="Обычный 70 3" xfId="598" xr:uid="{00000000-0005-0000-0000-000092050000}"/>
    <cellStyle name="Обычный 70 4" xfId="599" xr:uid="{00000000-0005-0000-0000-000093050000}"/>
    <cellStyle name="Обычный 70 5" xfId="600" xr:uid="{00000000-0005-0000-0000-000094050000}"/>
    <cellStyle name="Обычный 70 6" xfId="601" xr:uid="{00000000-0005-0000-0000-000095050000}"/>
    <cellStyle name="Обычный 70 7" xfId="602" xr:uid="{00000000-0005-0000-0000-000096050000}"/>
    <cellStyle name="Обычный 72 2" xfId="603" xr:uid="{00000000-0005-0000-0000-000097050000}"/>
    <cellStyle name="Обычный 72 3" xfId="604" xr:uid="{00000000-0005-0000-0000-000098050000}"/>
    <cellStyle name="Обычный 72 4" xfId="605" xr:uid="{00000000-0005-0000-0000-000099050000}"/>
    <cellStyle name="Обычный 72 5" xfId="606" xr:uid="{00000000-0005-0000-0000-00009A050000}"/>
    <cellStyle name="Обычный 72 6" xfId="607" xr:uid="{00000000-0005-0000-0000-00009B050000}"/>
    <cellStyle name="Обычный 72 7" xfId="608" xr:uid="{00000000-0005-0000-0000-00009C050000}"/>
    <cellStyle name="Обычный 74 2" xfId="609" xr:uid="{00000000-0005-0000-0000-00009D050000}"/>
    <cellStyle name="Обычный 74 3" xfId="610" xr:uid="{00000000-0005-0000-0000-00009E050000}"/>
    <cellStyle name="Обычный 74 4" xfId="611" xr:uid="{00000000-0005-0000-0000-00009F050000}"/>
    <cellStyle name="Обычный 74 5" xfId="612" xr:uid="{00000000-0005-0000-0000-0000A0050000}"/>
    <cellStyle name="Обычный 74 6" xfId="613" xr:uid="{00000000-0005-0000-0000-0000A1050000}"/>
    <cellStyle name="Обычный 74 7" xfId="614" xr:uid="{00000000-0005-0000-0000-0000A2050000}"/>
    <cellStyle name="Обычный 75 2" xfId="615" xr:uid="{00000000-0005-0000-0000-0000A3050000}"/>
    <cellStyle name="Обычный 75 3" xfId="616" xr:uid="{00000000-0005-0000-0000-0000A4050000}"/>
    <cellStyle name="Обычный 75 4" xfId="617" xr:uid="{00000000-0005-0000-0000-0000A5050000}"/>
    <cellStyle name="Обычный 75 5" xfId="618" xr:uid="{00000000-0005-0000-0000-0000A6050000}"/>
    <cellStyle name="Обычный 75 6" xfId="619" xr:uid="{00000000-0005-0000-0000-0000A7050000}"/>
    <cellStyle name="Обычный 75 7" xfId="620" xr:uid="{00000000-0005-0000-0000-0000A8050000}"/>
    <cellStyle name="Обычный 76 2" xfId="621" xr:uid="{00000000-0005-0000-0000-0000A9050000}"/>
    <cellStyle name="Обычный 76 3" xfId="622" xr:uid="{00000000-0005-0000-0000-0000AA050000}"/>
    <cellStyle name="Обычный 76 4" xfId="623" xr:uid="{00000000-0005-0000-0000-0000AB050000}"/>
    <cellStyle name="Обычный 76 5" xfId="624" xr:uid="{00000000-0005-0000-0000-0000AC050000}"/>
    <cellStyle name="Обычный 76 6" xfId="625" xr:uid="{00000000-0005-0000-0000-0000AD050000}"/>
    <cellStyle name="Обычный 76 7" xfId="626" xr:uid="{00000000-0005-0000-0000-0000AE050000}"/>
    <cellStyle name="Обычный 77 2" xfId="627" xr:uid="{00000000-0005-0000-0000-0000AF050000}"/>
    <cellStyle name="Обычный 77 3" xfId="628" xr:uid="{00000000-0005-0000-0000-0000B0050000}"/>
    <cellStyle name="Обычный 77 4" xfId="629" xr:uid="{00000000-0005-0000-0000-0000B1050000}"/>
    <cellStyle name="Обычный 77 5" xfId="630" xr:uid="{00000000-0005-0000-0000-0000B2050000}"/>
    <cellStyle name="Обычный 77 6" xfId="631" xr:uid="{00000000-0005-0000-0000-0000B3050000}"/>
    <cellStyle name="Обычный 77 7" xfId="632" xr:uid="{00000000-0005-0000-0000-0000B4050000}"/>
    <cellStyle name="Обычный 78 2" xfId="633" xr:uid="{00000000-0005-0000-0000-0000B5050000}"/>
    <cellStyle name="Обычный 78 3" xfId="634" xr:uid="{00000000-0005-0000-0000-0000B6050000}"/>
    <cellStyle name="Обычный 78 4" xfId="635" xr:uid="{00000000-0005-0000-0000-0000B7050000}"/>
    <cellStyle name="Обычный 78 5" xfId="636" xr:uid="{00000000-0005-0000-0000-0000B8050000}"/>
    <cellStyle name="Обычный 78 6" xfId="637" xr:uid="{00000000-0005-0000-0000-0000B9050000}"/>
    <cellStyle name="Обычный 78 7" xfId="638" xr:uid="{00000000-0005-0000-0000-0000BA050000}"/>
    <cellStyle name="Обычный 79 2" xfId="639" xr:uid="{00000000-0005-0000-0000-0000BB050000}"/>
    <cellStyle name="Обычный 79 3" xfId="640" xr:uid="{00000000-0005-0000-0000-0000BC050000}"/>
    <cellStyle name="Обычный 79 4" xfId="641" xr:uid="{00000000-0005-0000-0000-0000BD050000}"/>
    <cellStyle name="Обычный 79 5" xfId="642" xr:uid="{00000000-0005-0000-0000-0000BE050000}"/>
    <cellStyle name="Обычный 79 6" xfId="643" xr:uid="{00000000-0005-0000-0000-0000BF050000}"/>
    <cellStyle name="Обычный 79 7" xfId="644" xr:uid="{00000000-0005-0000-0000-0000C0050000}"/>
    <cellStyle name="Обычный 8" xfId="1428" xr:uid="{00000000-0005-0000-0000-0000C1050000}"/>
    <cellStyle name="Обычный 8 2" xfId="645" xr:uid="{00000000-0005-0000-0000-0000C2050000}"/>
    <cellStyle name="Обычный 8 2 2" xfId="893" xr:uid="{00000000-0005-0000-0000-0000C3050000}"/>
    <cellStyle name="Обычный 8 2 3" xfId="1012" xr:uid="{00000000-0005-0000-0000-0000C4050000}"/>
    <cellStyle name="Обычный 8 2 4" xfId="1350" xr:uid="{00000000-0005-0000-0000-0000C5050000}"/>
    <cellStyle name="Обычный 8 2 5" xfId="1659" xr:uid="{00000000-0005-0000-0000-0000C6050000}"/>
    <cellStyle name="Обычный 8 2 6" xfId="1932" xr:uid="{00000000-0005-0000-0000-0000C7050000}"/>
    <cellStyle name="Обычный 8 3" xfId="646" xr:uid="{00000000-0005-0000-0000-0000C8050000}"/>
    <cellStyle name="Обычный 8 3 2" xfId="894" xr:uid="{00000000-0005-0000-0000-0000C9050000}"/>
    <cellStyle name="Обычный 8 3 3" xfId="1013" xr:uid="{00000000-0005-0000-0000-0000CA050000}"/>
    <cellStyle name="Обычный 8 3 4" xfId="1351" xr:uid="{00000000-0005-0000-0000-0000CB050000}"/>
    <cellStyle name="Обычный 8 3 5" xfId="1933" xr:uid="{00000000-0005-0000-0000-0000CC050000}"/>
    <cellStyle name="Обычный 8 4" xfId="647" xr:uid="{00000000-0005-0000-0000-0000CD050000}"/>
    <cellStyle name="Обычный 8 4 2" xfId="895" xr:uid="{00000000-0005-0000-0000-0000CE050000}"/>
    <cellStyle name="Обычный 8 4 3" xfId="1014" xr:uid="{00000000-0005-0000-0000-0000CF050000}"/>
    <cellStyle name="Обычный 8 4 4" xfId="1352" xr:uid="{00000000-0005-0000-0000-0000D0050000}"/>
    <cellStyle name="Обычный 8 4 5" xfId="1934" xr:uid="{00000000-0005-0000-0000-0000D1050000}"/>
    <cellStyle name="Обычный 8 5" xfId="648" xr:uid="{00000000-0005-0000-0000-0000D2050000}"/>
    <cellStyle name="Обычный 8 5 2" xfId="896" xr:uid="{00000000-0005-0000-0000-0000D3050000}"/>
    <cellStyle name="Обычный 8 5 3" xfId="1015" xr:uid="{00000000-0005-0000-0000-0000D4050000}"/>
    <cellStyle name="Обычный 8 5 4" xfId="1353" xr:uid="{00000000-0005-0000-0000-0000D5050000}"/>
    <cellStyle name="Обычный 8 5 5" xfId="1935" xr:uid="{00000000-0005-0000-0000-0000D6050000}"/>
    <cellStyle name="Обычный 8 6" xfId="649" xr:uid="{00000000-0005-0000-0000-0000D7050000}"/>
    <cellStyle name="Обычный 8 6 2" xfId="897" xr:uid="{00000000-0005-0000-0000-0000D8050000}"/>
    <cellStyle name="Обычный 8 6 3" xfId="1016" xr:uid="{00000000-0005-0000-0000-0000D9050000}"/>
    <cellStyle name="Обычный 8 6 4" xfId="1354" xr:uid="{00000000-0005-0000-0000-0000DA050000}"/>
    <cellStyle name="Обычный 8 6 5" xfId="1936" xr:uid="{00000000-0005-0000-0000-0000DB050000}"/>
    <cellStyle name="Обычный 8 7" xfId="650" xr:uid="{00000000-0005-0000-0000-0000DC050000}"/>
    <cellStyle name="Обычный 8 7 2" xfId="898" xr:uid="{00000000-0005-0000-0000-0000DD050000}"/>
    <cellStyle name="Обычный 8 7 3" xfId="1017" xr:uid="{00000000-0005-0000-0000-0000DE050000}"/>
    <cellStyle name="Обычный 8 7 4" xfId="1355" xr:uid="{00000000-0005-0000-0000-0000DF050000}"/>
    <cellStyle name="Обычный 8 7 5" xfId="1937" xr:uid="{00000000-0005-0000-0000-0000E0050000}"/>
    <cellStyle name="Обычный 8 8" xfId="1658" xr:uid="{00000000-0005-0000-0000-0000E1050000}"/>
    <cellStyle name="Обычный 80 2" xfId="651" xr:uid="{00000000-0005-0000-0000-0000E2050000}"/>
    <cellStyle name="Обычный 80 3" xfId="652" xr:uid="{00000000-0005-0000-0000-0000E3050000}"/>
    <cellStyle name="Обычный 80 4" xfId="653" xr:uid="{00000000-0005-0000-0000-0000E4050000}"/>
    <cellStyle name="Обычный 80 5" xfId="654" xr:uid="{00000000-0005-0000-0000-0000E5050000}"/>
    <cellStyle name="Обычный 80 6" xfId="655" xr:uid="{00000000-0005-0000-0000-0000E6050000}"/>
    <cellStyle name="Обычный 80 7" xfId="656" xr:uid="{00000000-0005-0000-0000-0000E7050000}"/>
    <cellStyle name="Обычный 81 2" xfId="657" xr:uid="{00000000-0005-0000-0000-0000E8050000}"/>
    <cellStyle name="Обычный 81 3" xfId="658" xr:uid="{00000000-0005-0000-0000-0000E9050000}"/>
    <cellStyle name="Обычный 81 4" xfId="659" xr:uid="{00000000-0005-0000-0000-0000EA050000}"/>
    <cellStyle name="Обычный 81 5" xfId="660" xr:uid="{00000000-0005-0000-0000-0000EB050000}"/>
    <cellStyle name="Обычный 81 6" xfId="661" xr:uid="{00000000-0005-0000-0000-0000EC050000}"/>
    <cellStyle name="Обычный 81 7" xfId="662" xr:uid="{00000000-0005-0000-0000-0000ED050000}"/>
    <cellStyle name="Обычный 82 2" xfId="663" xr:uid="{00000000-0005-0000-0000-0000EE050000}"/>
    <cellStyle name="Обычный 82 3" xfId="664" xr:uid="{00000000-0005-0000-0000-0000EF050000}"/>
    <cellStyle name="Обычный 82 4" xfId="665" xr:uid="{00000000-0005-0000-0000-0000F0050000}"/>
    <cellStyle name="Обычный 82 5" xfId="666" xr:uid="{00000000-0005-0000-0000-0000F1050000}"/>
    <cellStyle name="Обычный 82 6" xfId="667" xr:uid="{00000000-0005-0000-0000-0000F2050000}"/>
    <cellStyle name="Обычный 82 7" xfId="668" xr:uid="{00000000-0005-0000-0000-0000F3050000}"/>
    <cellStyle name="Обычный 83 2" xfId="669" xr:uid="{00000000-0005-0000-0000-0000F4050000}"/>
    <cellStyle name="Обычный 83 3" xfId="670" xr:uid="{00000000-0005-0000-0000-0000F5050000}"/>
    <cellStyle name="Обычный 83 4" xfId="671" xr:uid="{00000000-0005-0000-0000-0000F6050000}"/>
    <cellStyle name="Обычный 83 5" xfId="672" xr:uid="{00000000-0005-0000-0000-0000F7050000}"/>
    <cellStyle name="Обычный 83 6" xfId="673" xr:uid="{00000000-0005-0000-0000-0000F8050000}"/>
    <cellStyle name="Обычный 83 7" xfId="674" xr:uid="{00000000-0005-0000-0000-0000F9050000}"/>
    <cellStyle name="Обычный 84 2" xfId="675" xr:uid="{00000000-0005-0000-0000-0000FA050000}"/>
    <cellStyle name="Обычный 84 3" xfId="676" xr:uid="{00000000-0005-0000-0000-0000FB050000}"/>
    <cellStyle name="Обычный 84 4" xfId="677" xr:uid="{00000000-0005-0000-0000-0000FC050000}"/>
    <cellStyle name="Обычный 84 5" xfId="678" xr:uid="{00000000-0005-0000-0000-0000FD050000}"/>
    <cellStyle name="Обычный 84 6" xfId="679" xr:uid="{00000000-0005-0000-0000-0000FE050000}"/>
    <cellStyle name="Обычный 84 7" xfId="680" xr:uid="{00000000-0005-0000-0000-0000FF050000}"/>
    <cellStyle name="Обычный 85" xfId="1356" xr:uid="{00000000-0005-0000-0000-000000060000}"/>
    <cellStyle name="Обычный 85 2" xfId="681" xr:uid="{00000000-0005-0000-0000-000001060000}"/>
    <cellStyle name="Обычный 85 3" xfId="682" xr:uid="{00000000-0005-0000-0000-000002060000}"/>
    <cellStyle name="Обычный 85 4" xfId="683" xr:uid="{00000000-0005-0000-0000-000003060000}"/>
    <cellStyle name="Обычный 85 5" xfId="684" xr:uid="{00000000-0005-0000-0000-000004060000}"/>
    <cellStyle name="Обычный 85 6" xfId="685" xr:uid="{00000000-0005-0000-0000-000005060000}"/>
    <cellStyle name="Обычный 85 7" xfId="686" xr:uid="{00000000-0005-0000-0000-000006060000}"/>
    <cellStyle name="Обычный 86" xfId="1357" xr:uid="{00000000-0005-0000-0000-000007060000}"/>
    <cellStyle name="Обычный 86 2" xfId="687" xr:uid="{00000000-0005-0000-0000-000008060000}"/>
    <cellStyle name="Обычный 86 3" xfId="688" xr:uid="{00000000-0005-0000-0000-000009060000}"/>
    <cellStyle name="Обычный 86 4" xfId="689" xr:uid="{00000000-0005-0000-0000-00000A060000}"/>
    <cellStyle name="Обычный 86 5" xfId="690" xr:uid="{00000000-0005-0000-0000-00000B060000}"/>
    <cellStyle name="Обычный 86 6" xfId="691" xr:uid="{00000000-0005-0000-0000-00000C060000}"/>
    <cellStyle name="Обычный 86 7" xfId="692" xr:uid="{00000000-0005-0000-0000-00000D060000}"/>
    <cellStyle name="Обычный 87" xfId="1358" xr:uid="{00000000-0005-0000-0000-00000E060000}"/>
    <cellStyle name="Обычный 87 2" xfId="693" xr:uid="{00000000-0005-0000-0000-00000F060000}"/>
    <cellStyle name="Обычный 87 3" xfId="694" xr:uid="{00000000-0005-0000-0000-000010060000}"/>
    <cellStyle name="Обычный 87 4" xfId="695" xr:uid="{00000000-0005-0000-0000-000011060000}"/>
    <cellStyle name="Обычный 87 5" xfId="696" xr:uid="{00000000-0005-0000-0000-000012060000}"/>
    <cellStyle name="Обычный 87 6" xfId="697" xr:uid="{00000000-0005-0000-0000-000013060000}"/>
    <cellStyle name="Обычный 87 7" xfId="698" xr:uid="{00000000-0005-0000-0000-000014060000}"/>
    <cellStyle name="Обычный 88" xfId="1359" xr:uid="{00000000-0005-0000-0000-000015060000}"/>
    <cellStyle name="Обычный 88 2" xfId="699" xr:uid="{00000000-0005-0000-0000-000016060000}"/>
    <cellStyle name="Обычный 88 3" xfId="700" xr:uid="{00000000-0005-0000-0000-000017060000}"/>
    <cellStyle name="Обычный 88 4" xfId="701" xr:uid="{00000000-0005-0000-0000-000018060000}"/>
    <cellStyle name="Обычный 88 5" xfId="702" xr:uid="{00000000-0005-0000-0000-000019060000}"/>
    <cellStyle name="Обычный 88 6" xfId="703" xr:uid="{00000000-0005-0000-0000-00001A060000}"/>
    <cellStyle name="Обычный 88 7" xfId="704" xr:uid="{00000000-0005-0000-0000-00001B060000}"/>
    <cellStyle name="Обычный 89" xfId="1360" xr:uid="{00000000-0005-0000-0000-00001C060000}"/>
    <cellStyle name="Обычный 89 2" xfId="705" xr:uid="{00000000-0005-0000-0000-00001D060000}"/>
    <cellStyle name="Обычный 89 3" xfId="706" xr:uid="{00000000-0005-0000-0000-00001E060000}"/>
    <cellStyle name="Обычный 89 4" xfId="707" xr:uid="{00000000-0005-0000-0000-00001F060000}"/>
    <cellStyle name="Обычный 89 5" xfId="708" xr:uid="{00000000-0005-0000-0000-000020060000}"/>
    <cellStyle name="Обычный 89 6" xfId="709" xr:uid="{00000000-0005-0000-0000-000021060000}"/>
    <cellStyle name="Обычный 89 7" xfId="710" xr:uid="{00000000-0005-0000-0000-000022060000}"/>
    <cellStyle name="Обычный 9" xfId="1429" xr:uid="{00000000-0005-0000-0000-000023060000}"/>
    <cellStyle name="Обычный 9 10" xfId="711" xr:uid="{00000000-0005-0000-0000-000024060000}"/>
    <cellStyle name="Обычный 9 10 2" xfId="899" xr:uid="{00000000-0005-0000-0000-000025060000}"/>
    <cellStyle name="Обычный 9 10 3" xfId="1018" xr:uid="{00000000-0005-0000-0000-000026060000}"/>
    <cellStyle name="Обычный 9 10 4" xfId="1361" xr:uid="{00000000-0005-0000-0000-000027060000}"/>
    <cellStyle name="Обычный 9 10 5" xfId="1938" xr:uid="{00000000-0005-0000-0000-000028060000}"/>
    <cellStyle name="Обычный 9 11" xfId="1660" xr:uid="{00000000-0005-0000-0000-000029060000}"/>
    <cellStyle name="Обычный 9 2" xfId="712" xr:uid="{00000000-0005-0000-0000-00002A060000}"/>
    <cellStyle name="Обычный 9 2 2" xfId="900" xr:uid="{00000000-0005-0000-0000-00002B060000}"/>
    <cellStyle name="Обычный 9 2 3" xfId="1019" xr:uid="{00000000-0005-0000-0000-00002C060000}"/>
    <cellStyle name="Обычный 9 2 4" xfId="1362" xr:uid="{00000000-0005-0000-0000-00002D060000}"/>
    <cellStyle name="Обычный 9 2 5" xfId="1939" xr:uid="{00000000-0005-0000-0000-00002E060000}"/>
    <cellStyle name="Обычный 9 3" xfId="713" xr:uid="{00000000-0005-0000-0000-00002F060000}"/>
    <cellStyle name="Обычный 9 3 2" xfId="901" xr:uid="{00000000-0005-0000-0000-000030060000}"/>
    <cellStyle name="Обычный 9 3 3" xfId="1020" xr:uid="{00000000-0005-0000-0000-000031060000}"/>
    <cellStyle name="Обычный 9 3 4" xfId="1363" xr:uid="{00000000-0005-0000-0000-000032060000}"/>
    <cellStyle name="Обычный 9 3 5" xfId="1940" xr:uid="{00000000-0005-0000-0000-000033060000}"/>
    <cellStyle name="Обычный 9 4" xfId="714" xr:uid="{00000000-0005-0000-0000-000034060000}"/>
    <cellStyle name="Обычный 9 4 2" xfId="902" xr:uid="{00000000-0005-0000-0000-000035060000}"/>
    <cellStyle name="Обычный 9 4 3" xfId="1021" xr:uid="{00000000-0005-0000-0000-000036060000}"/>
    <cellStyle name="Обычный 9 4 4" xfId="1364" xr:uid="{00000000-0005-0000-0000-000037060000}"/>
    <cellStyle name="Обычный 9 4 5" xfId="1941" xr:uid="{00000000-0005-0000-0000-000038060000}"/>
    <cellStyle name="Обычный 9 5" xfId="715" xr:uid="{00000000-0005-0000-0000-000039060000}"/>
    <cellStyle name="Обычный 9 5 2" xfId="903" xr:uid="{00000000-0005-0000-0000-00003A060000}"/>
    <cellStyle name="Обычный 9 5 3" xfId="1022" xr:uid="{00000000-0005-0000-0000-00003B060000}"/>
    <cellStyle name="Обычный 9 5 4" xfId="1365" xr:uid="{00000000-0005-0000-0000-00003C060000}"/>
    <cellStyle name="Обычный 9 5 5" xfId="1942" xr:uid="{00000000-0005-0000-0000-00003D060000}"/>
    <cellStyle name="Обычный 9 6" xfId="716" xr:uid="{00000000-0005-0000-0000-00003E060000}"/>
    <cellStyle name="Обычный 9 6 2" xfId="904" xr:uid="{00000000-0005-0000-0000-00003F060000}"/>
    <cellStyle name="Обычный 9 6 3" xfId="1023" xr:uid="{00000000-0005-0000-0000-000040060000}"/>
    <cellStyle name="Обычный 9 6 4" xfId="1366" xr:uid="{00000000-0005-0000-0000-000041060000}"/>
    <cellStyle name="Обычный 9 6 5" xfId="1943" xr:uid="{00000000-0005-0000-0000-000042060000}"/>
    <cellStyle name="Обычный 9 7" xfId="717" xr:uid="{00000000-0005-0000-0000-000043060000}"/>
    <cellStyle name="Обычный 9 7 2" xfId="905" xr:uid="{00000000-0005-0000-0000-000044060000}"/>
    <cellStyle name="Обычный 9 7 3" xfId="1024" xr:uid="{00000000-0005-0000-0000-000045060000}"/>
    <cellStyle name="Обычный 9 7 4" xfId="1367" xr:uid="{00000000-0005-0000-0000-000046060000}"/>
    <cellStyle name="Обычный 9 7 5" xfId="1944" xr:uid="{00000000-0005-0000-0000-000047060000}"/>
    <cellStyle name="Обычный 9 8" xfId="718" xr:uid="{00000000-0005-0000-0000-000048060000}"/>
    <cellStyle name="Обычный 9 8 2" xfId="906" xr:uid="{00000000-0005-0000-0000-000049060000}"/>
    <cellStyle name="Обычный 9 8 3" xfId="1025" xr:uid="{00000000-0005-0000-0000-00004A060000}"/>
    <cellStyle name="Обычный 9 8 4" xfId="1368" xr:uid="{00000000-0005-0000-0000-00004B060000}"/>
    <cellStyle name="Обычный 9 8 5" xfId="1945" xr:uid="{00000000-0005-0000-0000-00004C060000}"/>
    <cellStyle name="Обычный 9 9" xfId="719" xr:uid="{00000000-0005-0000-0000-00004D060000}"/>
    <cellStyle name="Обычный 9 9 2" xfId="907" xr:uid="{00000000-0005-0000-0000-00004E060000}"/>
    <cellStyle name="Обычный 9 9 3" xfId="1026" xr:uid="{00000000-0005-0000-0000-00004F060000}"/>
    <cellStyle name="Обычный 9 9 4" xfId="1369" xr:uid="{00000000-0005-0000-0000-000050060000}"/>
    <cellStyle name="Обычный 9 9 5" xfId="1946" xr:uid="{00000000-0005-0000-0000-000051060000}"/>
    <cellStyle name="Обычный 90" xfId="1370" xr:uid="{00000000-0005-0000-0000-000052060000}"/>
    <cellStyle name="Обычный 91" xfId="1371" xr:uid="{00000000-0005-0000-0000-000053060000}"/>
    <cellStyle name="Обычный 91 2" xfId="720" xr:uid="{00000000-0005-0000-0000-000054060000}"/>
    <cellStyle name="Обычный 91 3" xfId="721" xr:uid="{00000000-0005-0000-0000-000055060000}"/>
    <cellStyle name="Обычный 91 4" xfId="722" xr:uid="{00000000-0005-0000-0000-000056060000}"/>
    <cellStyle name="Обычный 91 5" xfId="723" xr:uid="{00000000-0005-0000-0000-000057060000}"/>
    <cellStyle name="Обычный 91 6" xfId="724" xr:uid="{00000000-0005-0000-0000-000058060000}"/>
    <cellStyle name="Обычный 91 7" xfId="725" xr:uid="{00000000-0005-0000-0000-000059060000}"/>
    <cellStyle name="Обычный 92" xfId="1372" xr:uid="{00000000-0005-0000-0000-00005A060000}"/>
    <cellStyle name="Обычный 93" xfId="1373" xr:uid="{00000000-0005-0000-0000-00005B060000}"/>
    <cellStyle name="Обычный 93 2" xfId="726" xr:uid="{00000000-0005-0000-0000-00005C060000}"/>
    <cellStyle name="Обычный 93 3" xfId="727" xr:uid="{00000000-0005-0000-0000-00005D060000}"/>
    <cellStyle name="Обычный 93 4" xfId="728" xr:uid="{00000000-0005-0000-0000-00005E060000}"/>
    <cellStyle name="Обычный 93 5" xfId="729" xr:uid="{00000000-0005-0000-0000-00005F060000}"/>
    <cellStyle name="Обычный 93 6" xfId="730" xr:uid="{00000000-0005-0000-0000-000060060000}"/>
    <cellStyle name="Обычный 93 7" xfId="731" xr:uid="{00000000-0005-0000-0000-000061060000}"/>
    <cellStyle name="Обычный 94" xfId="1374" xr:uid="{00000000-0005-0000-0000-000062060000}"/>
    <cellStyle name="Обычный 94 2" xfId="732" xr:uid="{00000000-0005-0000-0000-000063060000}"/>
    <cellStyle name="Обычный 94 3" xfId="733" xr:uid="{00000000-0005-0000-0000-000064060000}"/>
    <cellStyle name="Обычный 94 4" xfId="734" xr:uid="{00000000-0005-0000-0000-000065060000}"/>
    <cellStyle name="Обычный 94 5" xfId="735" xr:uid="{00000000-0005-0000-0000-000066060000}"/>
    <cellStyle name="Обычный 94 6" xfId="736" xr:uid="{00000000-0005-0000-0000-000067060000}"/>
    <cellStyle name="Обычный 94 7" xfId="737" xr:uid="{00000000-0005-0000-0000-000068060000}"/>
    <cellStyle name="Обычный 95" xfId="1375" xr:uid="{00000000-0005-0000-0000-000069060000}"/>
    <cellStyle name="Обычный 95 2" xfId="738" xr:uid="{00000000-0005-0000-0000-00006A060000}"/>
    <cellStyle name="Обычный 95 3" xfId="739" xr:uid="{00000000-0005-0000-0000-00006B060000}"/>
    <cellStyle name="Обычный 95 4" xfId="740" xr:uid="{00000000-0005-0000-0000-00006C060000}"/>
    <cellStyle name="Обычный 95 5" xfId="741" xr:uid="{00000000-0005-0000-0000-00006D060000}"/>
    <cellStyle name="Обычный 95 6" xfId="742" xr:uid="{00000000-0005-0000-0000-00006E060000}"/>
    <cellStyle name="Обычный 95 7" xfId="743" xr:uid="{00000000-0005-0000-0000-00006F060000}"/>
    <cellStyle name="Обычный 96" xfId="1376" xr:uid="{00000000-0005-0000-0000-000070060000}"/>
    <cellStyle name="Обычный 96 2" xfId="744" xr:uid="{00000000-0005-0000-0000-000071060000}"/>
    <cellStyle name="Обычный 96 3" xfId="745" xr:uid="{00000000-0005-0000-0000-000072060000}"/>
    <cellStyle name="Обычный 96 4" xfId="746" xr:uid="{00000000-0005-0000-0000-000073060000}"/>
    <cellStyle name="Обычный 96 5" xfId="747" xr:uid="{00000000-0005-0000-0000-000074060000}"/>
    <cellStyle name="Обычный 96 6" xfId="748" xr:uid="{00000000-0005-0000-0000-000075060000}"/>
    <cellStyle name="Обычный 96 7" xfId="749" xr:uid="{00000000-0005-0000-0000-000076060000}"/>
    <cellStyle name="Обычный 97" xfId="1377" xr:uid="{00000000-0005-0000-0000-000077060000}"/>
    <cellStyle name="Обычный 97 2" xfId="750" xr:uid="{00000000-0005-0000-0000-000078060000}"/>
    <cellStyle name="Обычный 97 3" xfId="751" xr:uid="{00000000-0005-0000-0000-000079060000}"/>
    <cellStyle name="Обычный 97 4" xfId="752" xr:uid="{00000000-0005-0000-0000-00007A060000}"/>
    <cellStyle name="Обычный 97 5" xfId="753" xr:uid="{00000000-0005-0000-0000-00007B060000}"/>
    <cellStyle name="Обычный 97 6" xfId="754" xr:uid="{00000000-0005-0000-0000-00007C060000}"/>
    <cellStyle name="Обычный 97 7" xfId="755" xr:uid="{00000000-0005-0000-0000-00007D060000}"/>
    <cellStyle name="Обычный 98" xfId="1378" xr:uid="{00000000-0005-0000-0000-00007E060000}"/>
    <cellStyle name="Обычный 98 2" xfId="756" xr:uid="{00000000-0005-0000-0000-00007F060000}"/>
    <cellStyle name="Обычный 98 2 2" xfId="908" xr:uid="{00000000-0005-0000-0000-000080060000}"/>
    <cellStyle name="Обычный 98 2 3" xfId="1027" xr:uid="{00000000-0005-0000-0000-000081060000}"/>
    <cellStyle name="Обычный 98 2 4" xfId="1379" xr:uid="{00000000-0005-0000-0000-000082060000}"/>
    <cellStyle name="Обычный 98 2 5" xfId="1947" xr:uid="{00000000-0005-0000-0000-000083060000}"/>
    <cellStyle name="Обычный 98 3" xfId="757" xr:uid="{00000000-0005-0000-0000-000084060000}"/>
    <cellStyle name="Обычный 98 3 2" xfId="909" xr:uid="{00000000-0005-0000-0000-000085060000}"/>
    <cellStyle name="Обычный 98 3 3" xfId="1028" xr:uid="{00000000-0005-0000-0000-000086060000}"/>
    <cellStyle name="Обычный 98 3 4" xfId="1380" xr:uid="{00000000-0005-0000-0000-000087060000}"/>
    <cellStyle name="Обычный 98 3 5" xfId="1948" xr:uid="{00000000-0005-0000-0000-000088060000}"/>
    <cellStyle name="Обычный 98 4" xfId="758" xr:uid="{00000000-0005-0000-0000-000089060000}"/>
    <cellStyle name="Обычный 98 4 2" xfId="910" xr:uid="{00000000-0005-0000-0000-00008A060000}"/>
    <cellStyle name="Обычный 98 4 3" xfId="1029" xr:uid="{00000000-0005-0000-0000-00008B060000}"/>
    <cellStyle name="Обычный 98 4 4" xfId="1381" xr:uid="{00000000-0005-0000-0000-00008C060000}"/>
    <cellStyle name="Обычный 98 4 5" xfId="1949" xr:uid="{00000000-0005-0000-0000-00008D060000}"/>
    <cellStyle name="Обычный 98 5" xfId="759" xr:uid="{00000000-0005-0000-0000-00008E060000}"/>
    <cellStyle name="Обычный 98 5 2" xfId="911" xr:uid="{00000000-0005-0000-0000-00008F060000}"/>
    <cellStyle name="Обычный 98 5 3" xfId="1030" xr:uid="{00000000-0005-0000-0000-000090060000}"/>
    <cellStyle name="Обычный 98 5 4" xfId="1382" xr:uid="{00000000-0005-0000-0000-000091060000}"/>
    <cellStyle name="Обычный 98 5 5" xfId="1950" xr:uid="{00000000-0005-0000-0000-000092060000}"/>
    <cellStyle name="Обычный 98 6" xfId="760" xr:uid="{00000000-0005-0000-0000-000093060000}"/>
    <cellStyle name="Обычный 98 6 2" xfId="912" xr:uid="{00000000-0005-0000-0000-000094060000}"/>
    <cellStyle name="Обычный 98 6 3" xfId="1031" xr:uid="{00000000-0005-0000-0000-000095060000}"/>
    <cellStyle name="Обычный 98 6 4" xfId="1383" xr:uid="{00000000-0005-0000-0000-000096060000}"/>
    <cellStyle name="Обычный 98 6 5" xfId="1951" xr:uid="{00000000-0005-0000-0000-000097060000}"/>
    <cellStyle name="Обычный 98 7" xfId="761" xr:uid="{00000000-0005-0000-0000-000098060000}"/>
    <cellStyle name="Обычный 98 7 2" xfId="913" xr:uid="{00000000-0005-0000-0000-000099060000}"/>
    <cellStyle name="Обычный 98 7 3" xfId="1032" xr:uid="{00000000-0005-0000-0000-00009A060000}"/>
    <cellStyle name="Обычный 98 7 4" xfId="1384" xr:uid="{00000000-0005-0000-0000-00009B060000}"/>
    <cellStyle name="Обычный 98 7 5" xfId="1952" xr:uid="{00000000-0005-0000-0000-00009C060000}"/>
    <cellStyle name="Обычный 99" xfId="1385" xr:uid="{00000000-0005-0000-0000-00009D060000}"/>
    <cellStyle name="Обычный 99 2" xfId="762" xr:uid="{00000000-0005-0000-0000-00009E060000}"/>
    <cellStyle name="Обычный 99 2 2" xfId="914" xr:uid="{00000000-0005-0000-0000-00009F060000}"/>
    <cellStyle name="Обычный 99 2 3" xfId="1033" xr:uid="{00000000-0005-0000-0000-0000A0060000}"/>
    <cellStyle name="Обычный 99 2 4" xfId="1386" xr:uid="{00000000-0005-0000-0000-0000A1060000}"/>
    <cellStyle name="Обычный 99 2 5" xfId="1953" xr:uid="{00000000-0005-0000-0000-0000A2060000}"/>
    <cellStyle name="Обычный 99 3" xfId="763" xr:uid="{00000000-0005-0000-0000-0000A3060000}"/>
    <cellStyle name="Обычный 99 3 2" xfId="915" xr:uid="{00000000-0005-0000-0000-0000A4060000}"/>
    <cellStyle name="Обычный 99 3 3" xfId="1034" xr:uid="{00000000-0005-0000-0000-0000A5060000}"/>
    <cellStyle name="Обычный 99 3 4" xfId="1387" xr:uid="{00000000-0005-0000-0000-0000A6060000}"/>
    <cellStyle name="Обычный 99 3 5" xfId="1954" xr:uid="{00000000-0005-0000-0000-0000A7060000}"/>
    <cellStyle name="Обычный 99 4" xfId="764" xr:uid="{00000000-0005-0000-0000-0000A8060000}"/>
    <cellStyle name="Обычный 99 4 2" xfId="916" xr:uid="{00000000-0005-0000-0000-0000A9060000}"/>
    <cellStyle name="Обычный 99 4 3" xfId="1035" xr:uid="{00000000-0005-0000-0000-0000AA060000}"/>
    <cellStyle name="Обычный 99 4 4" xfId="1388" xr:uid="{00000000-0005-0000-0000-0000AB060000}"/>
    <cellStyle name="Обычный 99 4 5" xfId="1955" xr:uid="{00000000-0005-0000-0000-0000AC060000}"/>
    <cellStyle name="Обычный 99 5" xfId="765" xr:uid="{00000000-0005-0000-0000-0000AD060000}"/>
    <cellStyle name="Обычный 99 5 2" xfId="917" xr:uid="{00000000-0005-0000-0000-0000AE060000}"/>
    <cellStyle name="Обычный 99 5 3" xfId="1036" xr:uid="{00000000-0005-0000-0000-0000AF060000}"/>
    <cellStyle name="Обычный 99 5 4" xfId="1389" xr:uid="{00000000-0005-0000-0000-0000B0060000}"/>
    <cellStyle name="Обычный 99 5 5" xfId="1956" xr:uid="{00000000-0005-0000-0000-0000B1060000}"/>
    <cellStyle name="Обычный 99 6" xfId="766" xr:uid="{00000000-0005-0000-0000-0000B2060000}"/>
    <cellStyle name="Обычный 99 6 2" xfId="918" xr:uid="{00000000-0005-0000-0000-0000B3060000}"/>
    <cellStyle name="Обычный 99 6 3" xfId="1037" xr:uid="{00000000-0005-0000-0000-0000B4060000}"/>
    <cellStyle name="Обычный 99 6 4" xfId="1390" xr:uid="{00000000-0005-0000-0000-0000B5060000}"/>
    <cellStyle name="Обычный 99 6 5" xfId="1957" xr:uid="{00000000-0005-0000-0000-0000B6060000}"/>
    <cellStyle name="Обычный 99 7" xfId="767" xr:uid="{00000000-0005-0000-0000-0000B7060000}"/>
    <cellStyle name="Обычный 99 7 2" xfId="919" xr:uid="{00000000-0005-0000-0000-0000B8060000}"/>
    <cellStyle name="Обычный 99 7 3" xfId="1038" xr:uid="{00000000-0005-0000-0000-0000B9060000}"/>
    <cellStyle name="Обычный 99 7 4" xfId="1391" xr:uid="{00000000-0005-0000-0000-0000BA060000}"/>
    <cellStyle name="Обычный 99 7 5" xfId="1958" xr:uid="{00000000-0005-0000-0000-0000BB060000}"/>
    <cellStyle name="Плохой 2" xfId="1661" xr:uid="{00000000-0005-0000-0000-0000BC060000}"/>
    <cellStyle name="Пояснение 2" xfId="1662" xr:uid="{00000000-0005-0000-0000-0000BD060000}"/>
    <cellStyle name="Примечание 2" xfId="1663" xr:uid="{00000000-0005-0000-0000-0000BE060000}"/>
    <cellStyle name="Примечание 2 2" xfId="1664" xr:uid="{00000000-0005-0000-0000-0000BF060000}"/>
    <cellStyle name="Примечание 2 3" xfId="1665" xr:uid="{00000000-0005-0000-0000-0000C0060000}"/>
    <cellStyle name="Примечание 2 3 2" xfId="1666" xr:uid="{00000000-0005-0000-0000-0000C1060000}"/>
    <cellStyle name="Процентный 10" xfId="1392" xr:uid="{00000000-0005-0000-0000-0000C2060000}"/>
    <cellStyle name="Процентный 10 2" xfId="1668" xr:uid="{00000000-0005-0000-0000-0000C3060000}"/>
    <cellStyle name="Процентный 10 3" xfId="1667" xr:uid="{00000000-0005-0000-0000-0000C4060000}"/>
    <cellStyle name="Процентный 11" xfId="1393" xr:uid="{00000000-0005-0000-0000-0000C5060000}"/>
    <cellStyle name="Процентный 11 2" xfId="1669" xr:uid="{00000000-0005-0000-0000-0000C6060000}"/>
    <cellStyle name="Процентный 11 2 2" xfId="1670" xr:uid="{00000000-0005-0000-0000-0000C7060000}"/>
    <cellStyle name="Процентный 11 3" xfId="1671" xr:uid="{00000000-0005-0000-0000-0000C8060000}"/>
    <cellStyle name="Процентный 12" xfId="1394" xr:uid="{00000000-0005-0000-0000-0000C9060000}"/>
    <cellStyle name="Процентный 12 2" xfId="1672" xr:uid="{00000000-0005-0000-0000-0000CA060000}"/>
    <cellStyle name="Процентный 12 2 2" xfId="1673" xr:uid="{00000000-0005-0000-0000-0000CB060000}"/>
    <cellStyle name="Процентный 12 3" xfId="1674" xr:uid="{00000000-0005-0000-0000-0000CC060000}"/>
    <cellStyle name="Процентный 13" xfId="1395" xr:uid="{00000000-0005-0000-0000-0000CD060000}"/>
    <cellStyle name="Процентный 13 2" xfId="1675" xr:uid="{00000000-0005-0000-0000-0000CE060000}"/>
    <cellStyle name="Процентный 13 2 2" xfId="1676" xr:uid="{00000000-0005-0000-0000-0000CF060000}"/>
    <cellStyle name="Процентный 13 3" xfId="1677" xr:uid="{00000000-0005-0000-0000-0000D0060000}"/>
    <cellStyle name="Процентный 14" xfId="1396" xr:uid="{00000000-0005-0000-0000-0000D1060000}"/>
    <cellStyle name="Процентный 14 2" xfId="1678" xr:uid="{00000000-0005-0000-0000-0000D2060000}"/>
    <cellStyle name="Процентный 15" xfId="1397" xr:uid="{00000000-0005-0000-0000-0000D3060000}"/>
    <cellStyle name="Процентный 16" xfId="1398" xr:uid="{00000000-0005-0000-0000-0000D4060000}"/>
    <cellStyle name="Процентный 17" xfId="1399" xr:uid="{00000000-0005-0000-0000-0000D5060000}"/>
    <cellStyle name="Процентный 18" xfId="1400" xr:uid="{00000000-0005-0000-0000-0000D6060000}"/>
    <cellStyle name="Процентный 19" xfId="1401" xr:uid="{00000000-0005-0000-0000-0000D7060000}"/>
    <cellStyle name="Процентный 2" xfId="1402" xr:uid="{00000000-0005-0000-0000-0000D8060000}"/>
    <cellStyle name="Процентный 2 2" xfId="1403" xr:uid="{00000000-0005-0000-0000-0000D9060000}"/>
    <cellStyle name="Процентный 2 2 2" xfId="1680" xr:uid="{00000000-0005-0000-0000-0000DA060000}"/>
    <cellStyle name="Процентный 2 2 3" xfId="1679" xr:uid="{00000000-0005-0000-0000-0000DB060000}"/>
    <cellStyle name="Процентный 20" xfId="1404" xr:uid="{00000000-0005-0000-0000-0000DC060000}"/>
    <cellStyle name="Процентный 21" xfId="1405" xr:uid="{00000000-0005-0000-0000-0000DD060000}"/>
    <cellStyle name="Процентный 22" xfId="1406" xr:uid="{00000000-0005-0000-0000-0000DE060000}"/>
    <cellStyle name="Процентный 23" xfId="1407" xr:uid="{00000000-0005-0000-0000-0000DF060000}"/>
    <cellStyle name="Процентный 24" xfId="1408" xr:uid="{00000000-0005-0000-0000-0000E0060000}"/>
    <cellStyle name="Процентный 25" xfId="1409" xr:uid="{00000000-0005-0000-0000-0000E1060000}"/>
    <cellStyle name="Процентный 26" xfId="1410" xr:uid="{00000000-0005-0000-0000-0000E2060000}"/>
    <cellStyle name="Процентный 27" xfId="1411" xr:uid="{00000000-0005-0000-0000-0000E3060000}"/>
    <cellStyle name="Процентный 28" xfId="1412" xr:uid="{00000000-0005-0000-0000-0000E4060000}"/>
    <cellStyle name="Процентный 3" xfId="1413" xr:uid="{00000000-0005-0000-0000-0000E5060000}"/>
    <cellStyle name="Процентный 3 2" xfId="1681" xr:uid="{00000000-0005-0000-0000-0000E6060000}"/>
    <cellStyle name="Процентный 3 2 2" xfId="1682" xr:uid="{00000000-0005-0000-0000-0000E7060000}"/>
    <cellStyle name="Процентный 4" xfId="1414" xr:uid="{00000000-0005-0000-0000-0000E8060000}"/>
    <cellStyle name="Процентный 4 2" xfId="1683" xr:uid="{00000000-0005-0000-0000-0000E9060000}"/>
    <cellStyle name="Процентный 4 2 2" xfId="1684" xr:uid="{00000000-0005-0000-0000-0000EA060000}"/>
    <cellStyle name="Процентный 4 3" xfId="1685" xr:uid="{00000000-0005-0000-0000-0000EB060000}"/>
    <cellStyle name="Процентный 5" xfId="1415" xr:uid="{00000000-0005-0000-0000-0000EC060000}"/>
    <cellStyle name="Процентный 5 2" xfId="1686" xr:uid="{00000000-0005-0000-0000-0000ED060000}"/>
    <cellStyle name="Процентный 5 2 2" xfId="1687" xr:uid="{00000000-0005-0000-0000-0000EE060000}"/>
    <cellStyle name="Процентный 5 3" xfId="1688" xr:uid="{00000000-0005-0000-0000-0000EF060000}"/>
    <cellStyle name="Процентный 5 3 2" xfId="1689" xr:uid="{00000000-0005-0000-0000-0000F0060000}"/>
    <cellStyle name="Процентный 5 4" xfId="1690" xr:uid="{00000000-0005-0000-0000-0000F1060000}"/>
    <cellStyle name="Процентный 5 4 2" xfId="1691" xr:uid="{00000000-0005-0000-0000-0000F2060000}"/>
    <cellStyle name="Процентный 5 5" xfId="1692" xr:uid="{00000000-0005-0000-0000-0000F3060000}"/>
    <cellStyle name="Процентный 6" xfId="1416" xr:uid="{00000000-0005-0000-0000-0000F4060000}"/>
    <cellStyle name="Процентный 6 2" xfId="1693" xr:uid="{00000000-0005-0000-0000-0000F5060000}"/>
    <cellStyle name="Процентный 7" xfId="1417" xr:uid="{00000000-0005-0000-0000-0000F6060000}"/>
    <cellStyle name="Процентный 7 2" xfId="1694" xr:uid="{00000000-0005-0000-0000-0000F7060000}"/>
    <cellStyle name="Процентный 8" xfId="1418" xr:uid="{00000000-0005-0000-0000-0000F8060000}"/>
    <cellStyle name="Процентный 8 2" xfId="1695" xr:uid="{00000000-0005-0000-0000-0000F9060000}"/>
    <cellStyle name="Процентный 9" xfId="1419" xr:uid="{00000000-0005-0000-0000-0000FA060000}"/>
    <cellStyle name="Процентный 9 2" xfId="1696" xr:uid="{00000000-0005-0000-0000-0000FB060000}"/>
    <cellStyle name="Связанная ячейка 2" xfId="1697" xr:uid="{00000000-0005-0000-0000-0000FC060000}"/>
    <cellStyle name="Стиль 1" xfId="768" xr:uid="{00000000-0005-0000-0000-0000FD060000}"/>
    <cellStyle name="Стиль 1 10" xfId="769" xr:uid="{00000000-0005-0000-0000-0000FE060000}"/>
    <cellStyle name="Стиль 1 11" xfId="770" xr:uid="{00000000-0005-0000-0000-0000FF060000}"/>
    <cellStyle name="Стиль 1 12" xfId="771" xr:uid="{00000000-0005-0000-0000-000000070000}"/>
    <cellStyle name="Стиль 1 13" xfId="772" xr:uid="{00000000-0005-0000-0000-000001070000}"/>
    <cellStyle name="Стиль 1 14" xfId="773" xr:uid="{00000000-0005-0000-0000-000002070000}"/>
    <cellStyle name="Стиль 1 15" xfId="774" xr:uid="{00000000-0005-0000-0000-000003070000}"/>
    <cellStyle name="Стиль 1 16" xfId="775" xr:uid="{00000000-0005-0000-0000-000004070000}"/>
    <cellStyle name="Стиль 1 17" xfId="776" xr:uid="{00000000-0005-0000-0000-000005070000}"/>
    <cellStyle name="Стиль 1 18" xfId="777" xr:uid="{00000000-0005-0000-0000-000006070000}"/>
    <cellStyle name="Стиль 1 19" xfId="778" xr:uid="{00000000-0005-0000-0000-000007070000}"/>
    <cellStyle name="Стиль 1 2" xfId="779" xr:uid="{00000000-0005-0000-0000-000008070000}"/>
    <cellStyle name="Стиль 1 2 2" xfId="1699" xr:uid="{00000000-0005-0000-0000-000009070000}"/>
    <cellStyle name="Стиль 1 20" xfId="780" xr:uid="{00000000-0005-0000-0000-00000A070000}"/>
    <cellStyle name="Стиль 1 21" xfId="781" xr:uid="{00000000-0005-0000-0000-00000B070000}"/>
    <cellStyle name="Стиль 1 22" xfId="782" xr:uid="{00000000-0005-0000-0000-00000C070000}"/>
    <cellStyle name="Стиль 1 23" xfId="783" xr:uid="{00000000-0005-0000-0000-00000D070000}"/>
    <cellStyle name="Стиль 1 24" xfId="784" xr:uid="{00000000-0005-0000-0000-00000E070000}"/>
    <cellStyle name="Стиль 1 25" xfId="785" xr:uid="{00000000-0005-0000-0000-00000F070000}"/>
    <cellStyle name="Стиль 1 26" xfId="786" xr:uid="{00000000-0005-0000-0000-000010070000}"/>
    <cellStyle name="Стиль 1 27" xfId="787" xr:uid="{00000000-0005-0000-0000-000011070000}"/>
    <cellStyle name="Стиль 1 3" xfId="788" xr:uid="{00000000-0005-0000-0000-000012070000}"/>
    <cellStyle name="Стиль 1 3 2" xfId="1700" xr:uid="{00000000-0005-0000-0000-000013070000}"/>
    <cellStyle name="Стиль 1 4" xfId="789" xr:uid="{00000000-0005-0000-0000-000014070000}"/>
    <cellStyle name="Стиль 1 5" xfId="790" xr:uid="{00000000-0005-0000-0000-000015070000}"/>
    <cellStyle name="Стиль 1 6" xfId="791" xr:uid="{00000000-0005-0000-0000-000016070000}"/>
    <cellStyle name="Стиль 1 7" xfId="792" xr:uid="{00000000-0005-0000-0000-000017070000}"/>
    <cellStyle name="Стиль 1 8" xfId="793" xr:uid="{00000000-0005-0000-0000-000018070000}"/>
    <cellStyle name="Стиль 1 9" xfId="794" xr:uid="{00000000-0005-0000-0000-000019070000}"/>
    <cellStyle name="Текст предупреждения 2" xfId="1701" xr:uid="{00000000-0005-0000-0000-00001A070000}"/>
    <cellStyle name="Тысячи [0]_laroux" xfId="1702" xr:uid="{00000000-0005-0000-0000-00001B070000}"/>
    <cellStyle name="Тысячи_laroux" xfId="1703" xr:uid="{00000000-0005-0000-0000-00001C070000}"/>
    <cellStyle name="Финансовый [0] 2" xfId="1705" xr:uid="{00000000-0005-0000-0000-00001D070000}"/>
    <cellStyle name="Финансовый [0] 2 2" xfId="1706" xr:uid="{00000000-0005-0000-0000-00001E070000}"/>
    <cellStyle name="Финансовый [0] 2 2 2" xfId="1707" xr:uid="{00000000-0005-0000-0000-00001F070000}"/>
    <cellStyle name="Финансовый [0] 2 3" xfId="1708" xr:uid="{00000000-0005-0000-0000-000020070000}"/>
    <cellStyle name="Финансовый 10" xfId="1709" xr:uid="{00000000-0005-0000-0000-000021070000}"/>
    <cellStyle name="Финансовый 11" xfId="1710" xr:uid="{00000000-0005-0000-0000-000022070000}"/>
    <cellStyle name="Финансовый 12" xfId="1711" xr:uid="{00000000-0005-0000-0000-000023070000}"/>
    <cellStyle name="Финансовый 13" xfId="1712" xr:uid="{00000000-0005-0000-0000-000024070000}"/>
    <cellStyle name="Финансовый 14" xfId="1713" xr:uid="{00000000-0005-0000-0000-000025070000}"/>
    <cellStyle name="Финансовый 15" xfId="1714" xr:uid="{00000000-0005-0000-0000-000026070000}"/>
    <cellStyle name="Финансовый 16" xfId="1715" xr:uid="{00000000-0005-0000-0000-000027070000}"/>
    <cellStyle name="Финансовый 17" xfId="1716" xr:uid="{00000000-0005-0000-0000-000028070000}"/>
    <cellStyle name="Финансовый 17 2" xfId="1717" xr:uid="{00000000-0005-0000-0000-000029070000}"/>
    <cellStyle name="Финансовый 17 2 2" xfId="1718" xr:uid="{00000000-0005-0000-0000-00002A070000}"/>
    <cellStyle name="Финансовый 17 3" xfId="1719" xr:uid="{00000000-0005-0000-0000-00002B070000}"/>
    <cellStyle name="Финансовый 18" xfId="1720" xr:uid="{00000000-0005-0000-0000-00002C070000}"/>
    <cellStyle name="Финансовый 18 2" xfId="1721" xr:uid="{00000000-0005-0000-0000-00002D070000}"/>
    <cellStyle name="Финансовый 19" xfId="1722" xr:uid="{00000000-0005-0000-0000-00002E070000}"/>
    <cellStyle name="Финансовый 2" xfId="795" xr:uid="{00000000-0005-0000-0000-00002F070000}"/>
    <cellStyle name="Финансовый 2 10" xfId="1723" xr:uid="{00000000-0005-0000-0000-000030070000}"/>
    <cellStyle name="Финансовый 2 2" xfId="1420" xr:uid="{00000000-0005-0000-0000-000031070000}"/>
    <cellStyle name="Финансовый 2 2 2" xfId="1725" xr:uid="{00000000-0005-0000-0000-000032070000}"/>
    <cellStyle name="Финансовый 2 2 2 2" xfId="1726" xr:uid="{00000000-0005-0000-0000-000033070000}"/>
    <cellStyle name="Финансовый 2 2 3" xfId="1727" xr:uid="{00000000-0005-0000-0000-000034070000}"/>
    <cellStyle name="Финансовый 2 2 3 2" xfId="1728" xr:uid="{00000000-0005-0000-0000-000035070000}"/>
    <cellStyle name="Финансовый 2 2 4" xfId="1729" xr:uid="{00000000-0005-0000-0000-000036070000}"/>
    <cellStyle name="Финансовый 2 2 4 2" xfId="1730" xr:uid="{00000000-0005-0000-0000-000037070000}"/>
    <cellStyle name="Финансовый 2 2 5" xfId="1731" xr:uid="{00000000-0005-0000-0000-000038070000}"/>
    <cellStyle name="Финансовый 2 2 5 2" xfId="1732" xr:uid="{00000000-0005-0000-0000-000039070000}"/>
    <cellStyle name="Финансовый 2 2 6" xfId="1733" xr:uid="{00000000-0005-0000-0000-00003A070000}"/>
    <cellStyle name="Финансовый 2 2 6 2" xfId="1734" xr:uid="{00000000-0005-0000-0000-00003B070000}"/>
    <cellStyle name="Финансовый 2 2 7" xfId="1735" xr:uid="{00000000-0005-0000-0000-00003C070000}"/>
    <cellStyle name="Финансовый 2 2 7 2" xfId="1736" xr:uid="{00000000-0005-0000-0000-00003D070000}"/>
    <cellStyle name="Финансовый 2 2 8" xfId="1737" xr:uid="{00000000-0005-0000-0000-00003E070000}"/>
    <cellStyle name="Финансовый 2 2 9" xfId="1724" xr:uid="{00000000-0005-0000-0000-00003F070000}"/>
    <cellStyle name="Финансовый 2 2_ДКС Украина прейскурант COSMEC" xfId="1738" xr:uid="{00000000-0005-0000-0000-000040070000}"/>
    <cellStyle name="Финансовый 2 3" xfId="1739" xr:uid="{00000000-0005-0000-0000-000041070000}"/>
    <cellStyle name="Финансовый 2 3 2" xfId="1740" xr:uid="{00000000-0005-0000-0000-000042070000}"/>
    <cellStyle name="Финансовый 2 4" xfId="1741" xr:uid="{00000000-0005-0000-0000-000043070000}"/>
    <cellStyle name="Финансовый 2 5" xfId="1742" xr:uid="{00000000-0005-0000-0000-000044070000}"/>
    <cellStyle name="Финансовый 2 5 2" xfId="1743" xr:uid="{00000000-0005-0000-0000-000045070000}"/>
    <cellStyle name="Финансовый 2 6" xfId="1744" xr:uid="{00000000-0005-0000-0000-000046070000}"/>
    <cellStyle name="Финансовый 2 7" xfId="1745" xr:uid="{00000000-0005-0000-0000-000047070000}"/>
    <cellStyle name="Финансовый 2 8" xfId="1746" xr:uid="{00000000-0005-0000-0000-000048070000}"/>
    <cellStyle name="Финансовый 2 9" xfId="1747" xr:uid="{00000000-0005-0000-0000-000049070000}"/>
    <cellStyle name="Финансовый 2_Xl0001013" xfId="1748" xr:uid="{00000000-0005-0000-0000-00004A070000}"/>
    <cellStyle name="Финансовый 20" xfId="1749" xr:uid="{00000000-0005-0000-0000-00004B070000}"/>
    <cellStyle name="Финансовый 21" xfId="1750" xr:uid="{00000000-0005-0000-0000-00004C070000}"/>
    <cellStyle name="Финансовый 22" xfId="1751" xr:uid="{00000000-0005-0000-0000-00004D070000}"/>
    <cellStyle name="Финансовый 23" xfId="1752" xr:uid="{00000000-0005-0000-0000-00004E070000}"/>
    <cellStyle name="Финансовый 24" xfId="1753" xr:uid="{00000000-0005-0000-0000-00004F070000}"/>
    <cellStyle name="Финансовый 25" xfId="1754" xr:uid="{00000000-0005-0000-0000-000050070000}"/>
    <cellStyle name="Финансовый 26" xfId="1755" xr:uid="{00000000-0005-0000-0000-000051070000}"/>
    <cellStyle name="Финансовый 27" xfId="1756" xr:uid="{00000000-0005-0000-0000-000052070000}"/>
    <cellStyle name="Финансовый 28" xfId="1757" xr:uid="{00000000-0005-0000-0000-000053070000}"/>
    <cellStyle name="Финансовый 29" xfId="1758" xr:uid="{00000000-0005-0000-0000-000054070000}"/>
    <cellStyle name="Финансовый 3" xfId="796" xr:uid="{00000000-0005-0000-0000-000055070000}"/>
    <cellStyle name="Финансовый 3 2" xfId="922" xr:uid="{00000000-0005-0000-0000-000056070000}"/>
    <cellStyle name="Финансовый 3 2 2" xfId="1760" xr:uid="{00000000-0005-0000-0000-000057070000}"/>
    <cellStyle name="Финансовый 3 2 3" xfId="1759" xr:uid="{00000000-0005-0000-0000-000058070000}"/>
    <cellStyle name="Финансовый 3 3" xfId="1761" xr:uid="{00000000-0005-0000-0000-000059070000}"/>
    <cellStyle name="Финансовый 3 3 2" xfId="1762" xr:uid="{00000000-0005-0000-0000-00005A070000}"/>
    <cellStyle name="Финансовый 3 4" xfId="1763" xr:uid="{00000000-0005-0000-0000-00005B070000}"/>
    <cellStyle name="Финансовый 3 4 2" xfId="1764" xr:uid="{00000000-0005-0000-0000-00005C070000}"/>
    <cellStyle name="Финансовый 3 5" xfId="1765" xr:uid="{00000000-0005-0000-0000-00005D070000}"/>
    <cellStyle name="Финансовый 3 5 2" xfId="1766" xr:uid="{00000000-0005-0000-0000-00005E070000}"/>
    <cellStyle name="Финансовый 3 6" xfId="1767" xr:uid="{00000000-0005-0000-0000-00005F070000}"/>
    <cellStyle name="Финансовый 3 6 2" xfId="1768" xr:uid="{00000000-0005-0000-0000-000060070000}"/>
    <cellStyle name="Финансовый 3 7" xfId="1769" xr:uid="{00000000-0005-0000-0000-000061070000}"/>
    <cellStyle name="Финансовый 30" xfId="1770" xr:uid="{00000000-0005-0000-0000-000062070000}"/>
    <cellStyle name="Финансовый 31" xfId="1771" xr:uid="{00000000-0005-0000-0000-000063070000}"/>
    <cellStyle name="Финансовый 32" xfId="1772" xr:uid="{00000000-0005-0000-0000-000064070000}"/>
    <cellStyle name="Финансовый 32 2" xfId="1773" xr:uid="{00000000-0005-0000-0000-000065070000}"/>
    <cellStyle name="Финансовый 33" xfId="1774" xr:uid="{00000000-0005-0000-0000-000066070000}"/>
    <cellStyle name="Финансовый 33 2" xfId="1775" xr:uid="{00000000-0005-0000-0000-000067070000}"/>
    <cellStyle name="Финансовый 34" xfId="1776" xr:uid="{00000000-0005-0000-0000-000068070000}"/>
    <cellStyle name="Финансовый 35" xfId="1777" xr:uid="{00000000-0005-0000-0000-000069070000}"/>
    <cellStyle name="Финансовый 36" xfId="1778" xr:uid="{00000000-0005-0000-0000-00006A070000}"/>
    <cellStyle name="Финансовый 36 2" xfId="1779" xr:uid="{00000000-0005-0000-0000-00006B070000}"/>
    <cellStyle name="Финансовый 37" xfId="1780" xr:uid="{00000000-0005-0000-0000-00006C070000}"/>
    <cellStyle name="Финансовый 37 2" xfId="1781" xr:uid="{00000000-0005-0000-0000-00006D070000}"/>
    <cellStyle name="Финансовый 38" xfId="1782" xr:uid="{00000000-0005-0000-0000-00006E070000}"/>
    <cellStyle name="Финансовый 38 2" xfId="1783" xr:uid="{00000000-0005-0000-0000-00006F070000}"/>
    <cellStyle name="Финансовый 38 2 2" xfId="1784" xr:uid="{00000000-0005-0000-0000-000070070000}"/>
    <cellStyle name="Финансовый 38 3" xfId="1785" xr:uid="{00000000-0005-0000-0000-000071070000}"/>
    <cellStyle name="Финансовый 39" xfId="1786" xr:uid="{00000000-0005-0000-0000-000072070000}"/>
    <cellStyle name="Финансовый 39 2" xfId="1787" xr:uid="{00000000-0005-0000-0000-000073070000}"/>
    <cellStyle name="Финансовый 4" xfId="1788" xr:uid="{00000000-0005-0000-0000-000074070000}"/>
    <cellStyle name="Финансовый 4 2" xfId="1789" xr:uid="{00000000-0005-0000-0000-000075070000}"/>
    <cellStyle name="Финансовый 4 2 2" xfId="1790" xr:uid="{00000000-0005-0000-0000-000076070000}"/>
    <cellStyle name="Финансовый 4 3" xfId="1791" xr:uid="{00000000-0005-0000-0000-000077070000}"/>
    <cellStyle name="Финансовый 40" xfId="1792" xr:uid="{00000000-0005-0000-0000-000078070000}"/>
    <cellStyle name="Финансовый 40 2" xfId="1793" xr:uid="{00000000-0005-0000-0000-000079070000}"/>
    <cellStyle name="Финансовый 41" xfId="1794" xr:uid="{00000000-0005-0000-0000-00007A070000}"/>
    <cellStyle name="Финансовый 41 2" xfId="1795" xr:uid="{00000000-0005-0000-0000-00007B070000}"/>
    <cellStyle name="Финансовый 42" xfId="1796" xr:uid="{00000000-0005-0000-0000-00007C070000}"/>
    <cellStyle name="Финансовый 42 2" xfId="1797" xr:uid="{00000000-0005-0000-0000-00007D070000}"/>
    <cellStyle name="Финансовый 43" xfId="1798" xr:uid="{00000000-0005-0000-0000-00007E070000}"/>
    <cellStyle name="Финансовый 43 2" xfId="1799" xr:uid="{00000000-0005-0000-0000-00007F070000}"/>
    <cellStyle name="Финансовый 44" xfId="1800" xr:uid="{00000000-0005-0000-0000-000080070000}"/>
    <cellStyle name="Финансовый 44 2" xfId="1801" xr:uid="{00000000-0005-0000-0000-000081070000}"/>
    <cellStyle name="Финансовый 45" xfId="1802" xr:uid="{00000000-0005-0000-0000-000082070000}"/>
    <cellStyle name="Финансовый 45 2" xfId="1803" xr:uid="{00000000-0005-0000-0000-000083070000}"/>
    <cellStyle name="Финансовый 46" xfId="1804" xr:uid="{00000000-0005-0000-0000-000084070000}"/>
    <cellStyle name="Финансовый 46 2" xfId="1805" xr:uid="{00000000-0005-0000-0000-000085070000}"/>
    <cellStyle name="Финансовый 47" xfId="1806" xr:uid="{00000000-0005-0000-0000-000086070000}"/>
    <cellStyle name="Финансовый 47 2" xfId="1807" xr:uid="{00000000-0005-0000-0000-000087070000}"/>
    <cellStyle name="Финансовый 48" xfId="1808" xr:uid="{00000000-0005-0000-0000-000088070000}"/>
    <cellStyle name="Финансовый 48 2" xfId="1809" xr:uid="{00000000-0005-0000-0000-000089070000}"/>
    <cellStyle name="Финансовый 49" xfId="1810" xr:uid="{00000000-0005-0000-0000-00008A070000}"/>
    <cellStyle name="Финансовый 49 2" xfId="1811" xr:uid="{00000000-0005-0000-0000-00008B070000}"/>
    <cellStyle name="Финансовый 5" xfId="1812" xr:uid="{00000000-0005-0000-0000-00008C070000}"/>
    <cellStyle name="Финансовый 50" xfId="1813" xr:uid="{00000000-0005-0000-0000-00008D070000}"/>
    <cellStyle name="Финансовый 50 2" xfId="1814" xr:uid="{00000000-0005-0000-0000-00008E070000}"/>
    <cellStyle name="Финансовый 51" xfId="1815" xr:uid="{00000000-0005-0000-0000-00008F070000}"/>
    <cellStyle name="Финансовый 51 2" xfId="1816" xr:uid="{00000000-0005-0000-0000-000090070000}"/>
    <cellStyle name="Финансовый 52" xfId="1817" xr:uid="{00000000-0005-0000-0000-000091070000}"/>
    <cellStyle name="Финансовый 52 2" xfId="1818" xr:uid="{00000000-0005-0000-0000-000092070000}"/>
    <cellStyle name="Финансовый 52 2 2" xfId="1819" xr:uid="{00000000-0005-0000-0000-000093070000}"/>
    <cellStyle name="Финансовый 52 3" xfId="1820" xr:uid="{00000000-0005-0000-0000-000094070000}"/>
    <cellStyle name="Финансовый 53" xfId="1821" xr:uid="{00000000-0005-0000-0000-000095070000}"/>
    <cellStyle name="Финансовый 54" xfId="1822" xr:uid="{00000000-0005-0000-0000-000096070000}"/>
    <cellStyle name="Финансовый 54 2" xfId="1823" xr:uid="{00000000-0005-0000-0000-000097070000}"/>
    <cellStyle name="Финансовый 54 2 2" xfId="1824" xr:uid="{00000000-0005-0000-0000-000098070000}"/>
    <cellStyle name="Финансовый 54 3" xfId="1825" xr:uid="{00000000-0005-0000-0000-000099070000}"/>
    <cellStyle name="Финансовый 55" xfId="1826" xr:uid="{00000000-0005-0000-0000-00009A070000}"/>
    <cellStyle name="Финансовый 56" xfId="1827" xr:uid="{00000000-0005-0000-0000-00009B070000}"/>
    <cellStyle name="Финансовый 57" xfId="1828" xr:uid="{00000000-0005-0000-0000-00009C070000}"/>
    <cellStyle name="Финансовый 58" xfId="1829" xr:uid="{00000000-0005-0000-0000-00009D070000}"/>
    <cellStyle name="Финансовый 59" xfId="1830" xr:uid="{00000000-0005-0000-0000-00009E070000}"/>
    <cellStyle name="Финансовый 6" xfId="1831" xr:uid="{00000000-0005-0000-0000-00009F070000}"/>
    <cellStyle name="Финансовый 60" xfId="1704" xr:uid="{00000000-0005-0000-0000-0000A0070000}"/>
    <cellStyle name="Финансовый 61" xfId="1841" xr:uid="{00000000-0005-0000-0000-0000A1070000}"/>
    <cellStyle name="Финансовый 62" xfId="1836" xr:uid="{00000000-0005-0000-0000-0000A2070000}"/>
    <cellStyle name="Финансовый 63" xfId="1840" xr:uid="{00000000-0005-0000-0000-0000A3070000}"/>
    <cellStyle name="Финансовый 64" xfId="1837" xr:uid="{00000000-0005-0000-0000-0000A4070000}"/>
    <cellStyle name="Финансовый 65" xfId="1839" xr:uid="{00000000-0005-0000-0000-0000A5070000}"/>
    <cellStyle name="Финансовый 66" xfId="1838" xr:uid="{00000000-0005-0000-0000-0000A6070000}"/>
    <cellStyle name="Финансовый 67" xfId="1846" xr:uid="{00000000-0005-0000-0000-0000A7070000}"/>
    <cellStyle name="Финансовый 68" xfId="1842" xr:uid="{00000000-0005-0000-0000-0000A8070000}"/>
    <cellStyle name="Финансовый 69" xfId="1845" xr:uid="{00000000-0005-0000-0000-0000A9070000}"/>
    <cellStyle name="Финансовый 7" xfId="1832" xr:uid="{00000000-0005-0000-0000-0000AA070000}"/>
    <cellStyle name="Финансовый 70" xfId="1843" xr:uid="{00000000-0005-0000-0000-0000AB070000}"/>
    <cellStyle name="Финансовый 71" xfId="1844" xr:uid="{00000000-0005-0000-0000-0000AC070000}"/>
    <cellStyle name="Финансовый 8" xfId="1833" xr:uid="{00000000-0005-0000-0000-0000AD070000}"/>
    <cellStyle name="Финансовый 9" xfId="1834" xr:uid="{00000000-0005-0000-0000-0000AE070000}"/>
    <cellStyle name="Хороший 2" xfId="1835" xr:uid="{00000000-0005-0000-0000-0000AF070000}"/>
    <cellStyle name="쉼표 [0] 2" xfId="797" xr:uid="{00000000-0005-0000-0000-0000B0070000}"/>
    <cellStyle name="표준 2" xfId="798" xr:uid="{00000000-0005-0000-0000-0000B1070000}"/>
    <cellStyle name="표준_2000년상반기가격표" xfId="799" xr:uid="{00000000-0005-0000-0000-0000B2070000}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4F96F"/>
      <color rgb="FFD3DFD4"/>
      <color rgb="FF9BE9D1"/>
      <color rgb="FFB8DE58"/>
      <color rgb="FF7CCD69"/>
      <color rgb="FFB2E35B"/>
      <color rgb="FFF1B1EE"/>
      <color rgb="FFEFD4B7"/>
      <color rgb="FFA8F62A"/>
      <color rgb="FFD2CA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CDCC-6279-4BBC-89A5-9E4DB9132F25}">
  <dimension ref="A1:Q133"/>
  <sheetViews>
    <sheetView tabSelected="1" topLeftCell="A112" zoomScale="140" zoomScaleNormal="140" workbookViewId="0">
      <selection activeCell="B120" sqref="B120"/>
    </sheetView>
  </sheetViews>
  <sheetFormatPr defaultColWidth="13.44140625" defaultRowHeight="13.8" x14ac:dyDescent="0.3"/>
  <cols>
    <col min="1" max="1" width="17.77734375" style="3" customWidth="1"/>
    <col min="2" max="2" width="63" style="1" customWidth="1"/>
    <col min="3" max="3" width="8" style="1" customWidth="1"/>
    <col min="4" max="4" width="7.6640625" style="1" bestFit="1" customWidth="1"/>
    <col min="5" max="5" width="8" style="1" customWidth="1"/>
    <col min="6" max="6" width="10.5546875" style="1" customWidth="1"/>
    <col min="7" max="7" width="8" style="2" customWidth="1"/>
    <col min="8" max="8" width="9.33203125" style="1" customWidth="1"/>
    <col min="9" max="10" width="11.109375" style="1" customWidth="1"/>
    <col min="11" max="12" width="12" style="1" customWidth="1"/>
    <col min="13" max="13" width="14.88671875" style="1" customWidth="1"/>
    <col min="14" max="14" width="14.88671875" style="1" bestFit="1" customWidth="1"/>
    <col min="15" max="16384" width="13.44140625" style="1"/>
  </cols>
  <sheetData>
    <row r="1" spans="1:15" s="42" customFormat="1" ht="15.6" x14ac:dyDescent="0.25">
      <c r="A1" s="90" t="s">
        <v>13</v>
      </c>
      <c r="B1" s="46">
        <v>0.3</v>
      </c>
      <c r="C1" s="39" t="s">
        <v>6</v>
      </c>
      <c r="D1" s="40">
        <v>50</v>
      </c>
      <c r="E1" s="40">
        <v>43</v>
      </c>
      <c r="F1" s="39" t="s">
        <v>16</v>
      </c>
      <c r="G1" s="41" t="s">
        <v>9</v>
      </c>
      <c r="H1" s="39" t="s">
        <v>4</v>
      </c>
      <c r="I1" s="91" t="s">
        <v>11</v>
      </c>
      <c r="J1" s="91"/>
      <c r="K1" s="91" t="s">
        <v>12</v>
      </c>
      <c r="L1" s="91"/>
      <c r="M1" s="39" t="s">
        <v>14</v>
      </c>
      <c r="N1" s="39" t="s">
        <v>15</v>
      </c>
    </row>
    <row r="2" spans="1:15" s="42" customFormat="1" ht="31.2" x14ac:dyDescent="0.25">
      <c r="A2" s="90"/>
      <c r="B2" s="43" t="s">
        <v>3</v>
      </c>
      <c r="C2" s="39" t="s">
        <v>0</v>
      </c>
      <c r="D2" s="39" t="s">
        <v>5</v>
      </c>
      <c r="E2" s="39" t="s">
        <v>10</v>
      </c>
      <c r="F2" s="39" t="s">
        <v>5</v>
      </c>
      <c r="G2" s="44" t="s">
        <v>8</v>
      </c>
      <c r="H2" s="45" t="s">
        <v>7</v>
      </c>
      <c r="I2" s="39" t="s">
        <v>1</v>
      </c>
      <c r="J2" s="39" t="s">
        <v>2</v>
      </c>
      <c r="K2" s="39" t="s">
        <v>1</v>
      </c>
      <c r="L2" s="39" t="s">
        <v>2</v>
      </c>
      <c r="M2" s="4">
        <f>SUM(M3:M49746)</f>
        <v>695426.58527915354</v>
      </c>
      <c r="N2" s="5">
        <f>SUM(N3:N49746)</f>
        <v>847550</v>
      </c>
    </row>
    <row r="3" spans="1:15" s="7" customFormat="1" ht="13.2" x14ac:dyDescent="0.25">
      <c r="A3" s="12"/>
      <c r="B3" s="12" t="s">
        <v>119</v>
      </c>
      <c r="C3" s="12"/>
      <c r="D3" s="12"/>
      <c r="E3" s="12"/>
      <c r="F3" s="12"/>
      <c r="G3" s="8">
        <v>1</v>
      </c>
      <c r="H3" s="12"/>
      <c r="I3" s="88">
        <f>SUM(J4:J98)</f>
        <v>635832.36492904194</v>
      </c>
      <c r="J3" s="89"/>
      <c r="K3" s="88">
        <f>SUM(L4:L98)</f>
        <v>491746.42527915357</v>
      </c>
      <c r="L3" s="89"/>
      <c r="M3" s="13">
        <f>K3+SUM(F26:F28)</f>
        <v>506146.42527915357</v>
      </c>
      <c r="N3" s="14">
        <f>ROUNDUP(K3*(1+$B$1),-1)*G3</f>
        <v>639280</v>
      </c>
      <c r="O3" s="7">
        <f>N3/1.2</f>
        <v>532733.33333333337</v>
      </c>
    </row>
    <row r="4" spans="1:15" s="7" customFormat="1" ht="13.2" x14ac:dyDescent="0.25">
      <c r="A4" s="15"/>
      <c r="B4" s="16" t="s">
        <v>17</v>
      </c>
      <c r="C4" s="6"/>
      <c r="D4" s="6"/>
      <c r="E4" s="6"/>
      <c r="F4" s="6"/>
      <c r="G4" s="25"/>
      <c r="H4" s="26"/>
      <c r="I4" s="6"/>
      <c r="J4" s="6"/>
      <c r="K4" s="6"/>
      <c r="L4" s="10"/>
      <c r="M4" s="11"/>
      <c r="N4" s="11"/>
    </row>
    <row r="5" spans="1:15" ht="15.6" x14ac:dyDescent="0.3">
      <c r="A5" s="82"/>
      <c r="B5" s="82" t="s">
        <v>120</v>
      </c>
      <c r="C5" s="82"/>
      <c r="D5" s="82"/>
      <c r="E5" s="82"/>
      <c r="F5" s="82"/>
      <c r="G5" s="83"/>
      <c r="H5" s="82"/>
      <c r="I5" s="92"/>
      <c r="J5" s="93"/>
      <c r="K5" s="92"/>
      <c r="L5" s="93"/>
      <c r="M5" s="84"/>
      <c r="N5" s="85"/>
    </row>
    <row r="6" spans="1:15" x14ac:dyDescent="0.3">
      <c r="A6" s="75" t="s">
        <v>121</v>
      </c>
      <c r="B6" s="57" t="s">
        <v>122</v>
      </c>
      <c r="C6" s="58">
        <v>398.38018999999997</v>
      </c>
      <c r="D6" s="58"/>
      <c r="E6" s="58"/>
      <c r="F6" s="58"/>
      <c r="G6" s="59">
        <v>1</v>
      </c>
      <c r="H6" s="60">
        <v>0.1</v>
      </c>
      <c r="I6" s="58">
        <f t="shared" ref="I6:I17" si="0">(C6*$D$1*1.2+D6*$D$1+E6*$E$1+F6)</f>
        <v>23902.811399999999</v>
      </c>
      <c r="J6" s="58">
        <f t="shared" ref="J6:J17" si="1">I6*G6</f>
        <v>23902.811399999999</v>
      </c>
      <c r="K6" s="58">
        <f t="shared" ref="K6:K17" si="2">I6*(1-H6/1)</f>
        <v>21512.53026</v>
      </c>
      <c r="L6" s="61">
        <f t="shared" ref="L6:L17" si="3">K6*G6</f>
        <v>21512.53026</v>
      </c>
      <c r="M6" s="62"/>
      <c r="N6" s="62"/>
    </row>
    <row r="7" spans="1:15" x14ac:dyDescent="0.3">
      <c r="A7" s="75" t="s">
        <v>123</v>
      </c>
      <c r="B7" s="57" t="s">
        <v>124</v>
      </c>
      <c r="C7" s="58">
        <v>12.944190000000001</v>
      </c>
      <c r="D7" s="58"/>
      <c r="E7" s="58"/>
      <c r="F7" s="58"/>
      <c r="G7" s="59">
        <v>2</v>
      </c>
      <c r="H7" s="60">
        <v>0.1</v>
      </c>
      <c r="I7" s="58">
        <f t="shared" si="0"/>
        <v>776.65140000000008</v>
      </c>
      <c r="J7" s="58">
        <f t="shared" si="1"/>
        <v>1553.3028000000002</v>
      </c>
      <c r="K7" s="58">
        <f t="shared" si="2"/>
        <v>698.98626000000013</v>
      </c>
      <c r="L7" s="61">
        <f t="shared" si="3"/>
        <v>1397.9725200000003</v>
      </c>
      <c r="M7" s="62"/>
      <c r="N7" s="62"/>
    </row>
    <row r="8" spans="1:15" x14ac:dyDescent="0.3">
      <c r="A8" s="75" t="s">
        <v>125</v>
      </c>
      <c r="B8" s="57" t="s">
        <v>126</v>
      </c>
      <c r="C8" s="58">
        <v>40.457209319999997</v>
      </c>
      <c r="D8" s="58"/>
      <c r="E8" s="58"/>
      <c r="F8" s="58"/>
      <c r="G8" s="59">
        <v>1</v>
      </c>
      <c r="H8" s="60">
        <v>0.1</v>
      </c>
      <c r="I8" s="58">
        <f t="shared" si="0"/>
        <v>2427.4325591999996</v>
      </c>
      <c r="J8" s="58">
        <f t="shared" si="1"/>
        <v>2427.4325591999996</v>
      </c>
      <c r="K8" s="58">
        <f t="shared" si="2"/>
        <v>2184.6893032799999</v>
      </c>
      <c r="L8" s="61">
        <f t="shared" si="3"/>
        <v>2184.6893032799999</v>
      </c>
      <c r="M8" s="62"/>
      <c r="N8" s="62"/>
    </row>
    <row r="9" spans="1:15" x14ac:dyDescent="0.3">
      <c r="A9" s="75" t="s">
        <v>127</v>
      </c>
      <c r="B9" s="57" t="s">
        <v>128</v>
      </c>
      <c r="C9" s="58">
        <v>14.96504</v>
      </c>
      <c r="D9" s="58"/>
      <c r="E9" s="58"/>
      <c r="F9" s="58"/>
      <c r="G9" s="59">
        <v>5</v>
      </c>
      <c r="H9" s="60">
        <v>0.1</v>
      </c>
      <c r="I9" s="58">
        <f t="shared" si="0"/>
        <v>897.90239999999994</v>
      </c>
      <c r="J9" s="58">
        <f t="shared" si="1"/>
        <v>4489.5119999999997</v>
      </c>
      <c r="K9" s="58">
        <f t="shared" si="2"/>
        <v>808.11216000000002</v>
      </c>
      <c r="L9" s="61">
        <f t="shared" si="3"/>
        <v>4040.5608000000002</v>
      </c>
      <c r="M9" s="62"/>
      <c r="N9" s="62"/>
    </row>
    <row r="10" spans="1:15" x14ac:dyDescent="0.3">
      <c r="A10" s="75" t="s">
        <v>129</v>
      </c>
      <c r="B10" s="57" t="s">
        <v>130</v>
      </c>
      <c r="C10" s="58">
        <v>23.078440000000001</v>
      </c>
      <c r="D10" s="58"/>
      <c r="E10" s="58"/>
      <c r="F10" s="58"/>
      <c r="G10" s="59">
        <v>2</v>
      </c>
      <c r="H10" s="60">
        <v>0.1</v>
      </c>
      <c r="I10" s="58">
        <f t="shared" si="0"/>
        <v>1384.7064</v>
      </c>
      <c r="J10" s="58">
        <f t="shared" si="1"/>
        <v>2769.4128000000001</v>
      </c>
      <c r="K10" s="58">
        <f t="shared" si="2"/>
        <v>1246.23576</v>
      </c>
      <c r="L10" s="61">
        <f t="shared" si="3"/>
        <v>2492.4715200000001</v>
      </c>
      <c r="M10" s="62"/>
      <c r="N10" s="62"/>
    </row>
    <row r="11" spans="1:15" x14ac:dyDescent="0.3">
      <c r="A11" s="75" t="s">
        <v>131</v>
      </c>
      <c r="B11" s="57" t="s">
        <v>132</v>
      </c>
      <c r="C11" s="58">
        <v>20.63</v>
      </c>
      <c r="D11" s="58"/>
      <c r="E11" s="58"/>
      <c r="F11" s="58"/>
      <c r="G11" s="59">
        <v>3</v>
      </c>
      <c r="H11" s="60">
        <v>0.1</v>
      </c>
      <c r="I11" s="58">
        <f t="shared" si="0"/>
        <v>1237.8</v>
      </c>
      <c r="J11" s="58">
        <f t="shared" si="1"/>
        <v>3713.3999999999996</v>
      </c>
      <c r="K11" s="58">
        <f t="shared" si="2"/>
        <v>1114.02</v>
      </c>
      <c r="L11" s="61">
        <f t="shared" si="3"/>
        <v>3342.06</v>
      </c>
      <c r="M11" s="62"/>
      <c r="N11" s="62"/>
    </row>
    <row r="12" spans="1:15" x14ac:dyDescent="0.3">
      <c r="A12" s="75" t="s">
        <v>133</v>
      </c>
      <c r="B12" s="57" t="s">
        <v>134</v>
      </c>
      <c r="C12" s="58">
        <v>9.5142600000000019</v>
      </c>
      <c r="D12" s="58"/>
      <c r="E12" s="58"/>
      <c r="F12" s="58"/>
      <c r="G12" s="59">
        <v>3</v>
      </c>
      <c r="H12" s="60">
        <v>0.1</v>
      </c>
      <c r="I12" s="58">
        <f t="shared" si="0"/>
        <v>570.85560000000009</v>
      </c>
      <c r="J12" s="58">
        <f t="shared" si="1"/>
        <v>1712.5668000000003</v>
      </c>
      <c r="K12" s="58">
        <f t="shared" si="2"/>
        <v>513.77004000000011</v>
      </c>
      <c r="L12" s="61">
        <f t="shared" si="3"/>
        <v>1541.3101200000003</v>
      </c>
      <c r="M12" s="62"/>
      <c r="N12" s="62"/>
    </row>
    <row r="13" spans="1:15" x14ac:dyDescent="0.3">
      <c r="A13" s="75" t="s">
        <v>135</v>
      </c>
      <c r="B13" s="57" t="s">
        <v>136</v>
      </c>
      <c r="C13" s="58">
        <v>5.7330000000000005</v>
      </c>
      <c r="D13" s="58"/>
      <c r="E13" s="58"/>
      <c r="F13" s="58"/>
      <c r="G13" s="59">
        <v>1</v>
      </c>
      <c r="H13" s="60">
        <v>0.1</v>
      </c>
      <c r="I13" s="58">
        <f t="shared" si="0"/>
        <v>343.98</v>
      </c>
      <c r="J13" s="58">
        <f t="shared" si="1"/>
        <v>343.98</v>
      </c>
      <c r="K13" s="58">
        <f t="shared" si="2"/>
        <v>309.58200000000005</v>
      </c>
      <c r="L13" s="61">
        <f t="shared" si="3"/>
        <v>309.58200000000005</v>
      </c>
      <c r="M13" s="62"/>
      <c r="N13" s="62"/>
    </row>
    <row r="14" spans="1:15" x14ac:dyDescent="0.3">
      <c r="A14" s="75" t="s">
        <v>137</v>
      </c>
      <c r="B14" s="57" t="s">
        <v>138</v>
      </c>
      <c r="C14" s="58">
        <v>23.1357</v>
      </c>
      <c r="D14" s="58"/>
      <c r="E14" s="58"/>
      <c r="F14" s="58"/>
      <c r="G14" s="59">
        <v>1</v>
      </c>
      <c r="H14" s="60">
        <v>0.1</v>
      </c>
      <c r="I14" s="58">
        <f t="shared" si="0"/>
        <v>1388.1420000000001</v>
      </c>
      <c r="J14" s="58">
        <f t="shared" si="1"/>
        <v>1388.1420000000001</v>
      </c>
      <c r="K14" s="58">
        <f t="shared" si="2"/>
        <v>1249.3278</v>
      </c>
      <c r="L14" s="61">
        <f t="shared" si="3"/>
        <v>1249.3278</v>
      </c>
      <c r="M14" s="62"/>
      <c r="N14" s="62"/>
    </row>
    <row r="15" spans="1:15" x14ac:dyDescent="0.3">
      <c r="A15" s="75" t="s">
        <v>139</v>
      </c>
      <c r="B15" s="57" t="s">
        <v>140</v>
      </c>
      <c r="C15" s="58">
        <v>28.28</v>
      </c>
      <c r="D15" s="58"/>
      <c r="E15" s="58"/>
      <c r="F15" s="58"/>
      <c r="G15" s="59">
        <v>1</v>
      </c>
      <c r="H15" s="60">
        <v>0.1</v>
      </c>
      <c r="I15" s="58">
        <f t="shared" si="0"/>
        <v>1696.8</v>
      </c>
      <c r="J15" s="58">
        <f t="shared" si="1"/>
        <v>1696.8</v>
      </c>
      <c r="K15" s="58">
        <f t="shared" si="2"/>
        <v>1527.12</v>
      </c>
      <c r="L15" s="61">
        <f t="shared" si="3"/>
        <v>1527.12</v>
      </c>
      <c r="M15" s="62"/>
      <c r="N15" s="62"/>
    </row>
    <row r="16" spans="1:15" x14ac:dyDescent="0.3">
      <c r="A16" s="75" t="s">
        <v>141</v>
      </c>
      <c r="B16" s="57" t="s">
        <v>142</v>
      </c>
      <c r="C16" s="58">
        <v>20</v>
      </c>
      <c r="D16" s="58"/>
      <c r="E16" s="58"/>
      <c r="F16" s="58"/>
      <c r="G16" s="59">
        <v>1</v>
      </c>
      <c r="H16" s="60">
        <v>0.1</v>
      </c>
      <c r="I16" s="58">
        <f t="shared" si="0"/>
        <v>1200</v>
      </c>
      <c r="J16" s="58">
        <f t="shared" si="1"/>
        <v>1200</v>
      </c>
      <c r="K16" s="58">
        <f t="shared" si="2"/>
        <v>1080</v>
      </c>
      <c r="L16" s="61">
        <f t="shared" si="3"/>
        <v>1080</v>
      </c>
      <c r="M16" s="62"/>
      <c r="N16" s="62"/>
    </row>
    <row r="17" spans="1:15" x14ac:dyDescent="0.3">
      <c r="A17" s="75" t="s">
        <v>143</v>
      </c>
      <c r="B17" s="57" t="s">
        <v>144</v>
      </c>
      <c r="C17" s="58">
        <v>43.78125</v>
      </c>
      <c r="D17" s="58"/>
      <c r="E17" s="58"/>
      <c r="F17" s="58"/>
      <c r="G17" s="59">
        <v>1</v>
      </c>
      <c r="H17" s="60">
        <v>0.1</v>
      </c>
      <c r="I17" s="58">
        <f t="shared" si="0"/>
        <v>2626.875</v>
      </c>
      <c r="J17" s="58">
        <f t="shared" si="1"/>
        <v>2626.875</v>
      </c>
      <c r="K17" s="58">
        <f t="shared" si="2"/>
        <v>2364.1875</v>
      </c>
      <c r="L17" s="61">
        <f t="shared" si="3"/>
        <v>2364.1875</v>
      </c>
      <c r="M17" s="62"/>
      <c r="N17" s="62"/>
    </row>
    <row r="18" spans="1:15" x14ac:dyDescent="0.3">
      <c r="A18" s="65" t="s">
        <v>114</v>
      </c>
      <c r="B18" s="78" t="s">
        <v>115</v>
      </c>
      <c r="C18" s="58">
        <v>114.2714</v>
      </c>
      <c r="D18" s="58"/>
      <c r="E18" s="58"/>
      <c r="F18" s="58"/>
      <c r="G18" s="59">
        <v>1</v>
      </c>
      <c r="H18" s="60">
        <v>0.35</v>
      </c>
      <c r="I18" s="58">
        <f t="shared" ref="I18:I19" si="4">(C18*$D$1*1.2+D18*$D$1+E18*$E$1+F18)</f>
        <v>6856.2839999999997</v>
      </c>
      <c r="J18" s="58">
        <f t="shared" ref="J18:J19" si="5">I18*G18</f>
        <v>6856.2839999999997</v>
      </c>
      <c r="K18" s="58">
        <f t="shared" ref="K18:K19" si="6">I18*(1-H18/1)</f>
        <v>4456.5846000000001</v>
      </c>
      <c r="L18" s="61">
        <f t="shared" ref="L18:L19" si="7">K18*G18</f>
        <v>4456.5846000000001</v>
      </c>
      <c r="M18" s="62"/>
      <c r="N18" s="62"/>
    </row>
    <row r="19" spans="1:15" s="7" customFormat="1" ht="12.9" customHeight="1" x14ac:dyDescent="0.3">
      <c r="A19" s="52" t="s">
        <v>28</v>
      </c>
      <c r="B19" s="53" t="s">
        <v>29</v>
      </c>
      <c r="C19" s="6">
        <v>32.99</v>
      </c>
      <c r="D19" s="6"/>
      <c r="E19" s="6"/>
      <c r="F19" s="24"/>
      <c r="G19" s="25">
        <v>2</v>
      </c>
      <c r="H19" s="60">
        <v>0.2</v>
      </c>
      <c r="I19" s="6">
        <f t="shared" si="4"/>
        <v>1979.3999999999999</v>
      </c>
      <c r="J19" s="6">
        <f t="shared" si="5"/>
        <v>3958.7999999999997</v>
      </c>
      <c r="K19" s="6">
        <f t="shared" si="6"/>
        <v>1583.52</v>
      </c>
      <c r="L19" s="10">
        <f t="shared" si="7"/>
        <v>3167.04</v>
      </c>
      <c r="M19" s="11"/>
      <c r="N19" s="11"/>
    </row>
    <row r="20" spans="1:15" s="7" customFormat="1" ht="12.9" customHeight="1" x14ac:dyDescent="0.3">
      <c r="A20" s="54" t="s">
        <v>30</v>
      </c>
      <c r="B20" s="55" t="s">
        <v>31</v>
      </c>
      <c r="C20" s="6">
        <v>10.37</v>
      </c>
      <c r="D20" s="6">
        <v>1.4999999999999999E-2</v>
      </c>
      <c r="E20" s="6"/>
      <c r="F20" s="6"/>
      <c r="G20" s="25">
        <v>1</v>
      </c>
      <c r="H20" s="60">
        <v>0.2</v>
      </c>
      <c r="I20" s="6">
        <f t="shared" ref="I20" si="8">(C20*$D$1*1.2+D20*$D$1+E20*$E$1+F20)</f>
        <v>622.94999999999993</v>
      </c>
      <c r="J20" s="6">
        <f t="shared" ref="J20" si="9">I20*G20</f>
        <v>622.94999999999993</v>
      </c>
      <c r="K20" s="6">
        <f t="shared" ref="K20" si="10">I20*(1-H20/1)</f>
        <v>498.35999999999996</v>
      </c>
      <c r="L20" s="10">
        <f t="shared" ref="L20" si="11">K20*G20</f>
        <v>498.35999999999996</v>
      </c>
      <c r="M20" s="11"/>
      <c r="N20" s="11"/>
      <c r="O20" s="86">
        <f>SUM(J6:J17)</f>
        <v>47824.235359200007</v>
      </c>
    </row>
    <row r="21" spans="1:15" s="7" customFormat="1" ht="13.2" x14ac:dyDescent="0.25">
      <c r="A21" s="15"/>
      <c r="B21" s="18" t="s">
        <v>27</v>
      </c>
      <c r="C21" s="6"/>
      <c r="D21" s="6"/>
      <c r="E21" s="6"/>
      <c r="F21" s="6"/>
      <c r="G21" s="25"/>
      <c r="H21" s="26"/>
      <c r="I21" s="6"/>
      <c r="J21" s="6"/>
      <c r="K21" s="6"/>
      <c r="L21" s="10"/>
      <c r="M21" s="11"/>
      <c r="N21" s="11"/>
    </row>
    <row r="22" spans="1:15" s="33" customFormat="1" ht="13.2" x14ac:dyDescent="0.25">
      <c r="A22" s="49"/>
      <c r="B22" s="50" t="s">
        <v>32</v>
      </c>
      <c r="C22" s="51"/>
      <c r="D22" s="28"/>
      <c r="E22" s="28"/>
      <c r="F22" s="28">
        <f>8000+1500</f>
        <v>9500</v>
      </c>
      <c r="G22" s="38">
        <v>1</v>
      </c>
      <c r="H22" s="30">
        <v>0</v>
      </c>
      <c r="I22" s="28">
        <f t="shared" ref="I22:I24" si="12">(C22*$D$1*1.2+D22*$D$1+E22*$E$1+F22)</f>
        <v>9500</v>
      </c>
      <c r="J22" s="28">
        <f t="shared" ref="J22:J24" si="13">I22*G22</f>
        <v>9500</v>
      </c>
      <c r="K22" s="28">
        <f t="shared" ref="K22:K24" si="14">I22*(1-H22/1)</f>
        <v>9500</v>
      </c>
      <c r="L22" s="31">
        <f t="shared" ref="L22:L24" si="15">K22*G22</f>
        <v>9500</v>
      </c>
      <c r="M22" s="32"/>
      <c r="N22" s="32"/>
    </row>
    <row r="23" spans="1:15" s="7" customFormat="1" ht="13.2" x14ac:dyDescent="0.25">
      <c r="A23" s="19"/>
      <c r="B23" s="20" t="s">
        <v>33</v>
      </c>
      <c r="C23" s="6"/>
      <c r="D23" s="6"/>
      <c r="E23" s="6"/>
      <c r="F23" s="6">
        <v>500</v>
      </c>
      <c r="G23" s="27">
        <v>3</v>
      </c>
      <c r="H23" s="26">
        <v>0</v>
      </c>
      <c r="I23" s="6">
        <f t="shared" si="12"/>
        <v>500</v>
      </c>
      <c r="J23" s="6">
        <f t="shared" si="13"/>
        <v>1500</v>
      </c>
      <c r="K23" s="6">
        <f t="shared" si="14"/>
        <v>500</v>
      </c>
      <c r="L23" s="10">
        <f t="shared" si="15"/>
        <v>1500</v>
      </c>
      <c r="M23" s="11"/>
      <c r="N23" s="11"/>
    </row>
    <row r="24" spans="1:15" s="7" customFormat="1" ht="13.2" x14ac:dyDescent="0.25">
      <c r="A24" s="21"/>
      <c r="B24" s="9" t="s">
        <v>22</v>
      </c>
      <c r="C24" s="6"/>
      <c r="D24" s="6"/>
      <c r="E24" s="6"/>
      <c r="F24" s="6">
        <v>10000</v>
      </c>
      <c r="G24" s="25">
        <v>1</v>
      </c>
      <c r="H24" s="26">
        <v>0</v>
      </c>
      <c r="I24" s="6">
        <f t="shared" si="12"/>
        <v>10000</v>
      </c>
      <c r="J24" s="6">
        <f t="shared" si="13"/>
        <v>10000</v>
      </c>
      <c r="K24" s="6">
        <f t="shared" si="14"/>
        <v>10000</v>
      </c>
      <c r="L24" s="10">
        <f t="shared" si="15"/>
        <v>10000</v>
      </c>
      <c r="M24" s="11"/>
      <c r="N24" s="11"/>
    </row>
    <row r="25" spans="1:15" s="7" customFormat="1" ht="13.2" x14ac:dyDescent="0.25">
      <c r="A25" s="15"/>
      <c r="B25" s="16" t="s">
        <v>18</v>
      </c>
      <c r="C25" s="6"/>
      <c r="D25" s="6"/>
      <c r="E25" s="6"/>
      <c r="F25" s="6"/>
      <c r="G25" s="25"/>
      <c r="H25" s="26"/>
      <c r="I25" s="6"/>
      <c r="J25" s="6"/>
      <c r="K25" s="6"/>
      <c r="L25" s="10"/>
      <c r="M25" s="11"/>
      <c r="N25" s="11"/>
    </row>
    <row r="26" spans="1:15" s="7" customFormat="1" ht="13.2" x14ac:dyDescent="0.25">
      <c r="A26" s="21"/>
      <c r="B26" s="9" t="s">
        <v>19</v>
      </c>
      <c r="C26" s="6"/>
      <c r="D26" s="6"/>
      <c r="E26" s="6"/>
      <c r="F26" s="6">
        <f>ROUNDUP(K3*($B$1+1)*0.0125,-1)</f>
        <v>8000</v>
      </c>
      <c r="G26" s="25">
        <v>1</v>
      </c>
      <c r="H26" s="26">
        <v>0</v>
      </c>
      <c r="I26" s="6"/>
      <c r="J26" s="6"/>
      <c r="K26" s="6"/>
      <c r="L26" s="10"/>
      <c r="M26" s="11"/>
      <c r="N26" s="11"/>
    </row>
    <row r="27" spans="1:15" s="7" customFormat="1" ht="13.2" x14ac:dyDescent="0.25">
      <c r="A27" s="21"/>
      <c r="B27" s="9" t="s">
        <v>20</v>
      </c>
      <c r="C27" s="6"/>
      <c r="D27" s="6"/>
      <c r="E27" s="6"/>
      <c r="F27" s="6">
        <f>ROUNDUP(K3*($B$1+1)*0.0075,-1)</f>
        <v>4800</v>
      </c>
      <c r="G27" s="25">
        <v>1</v>
      </c>
      <c r="H27" s="26">
        <v>0</v>
      </c>
      <c r="I27" s="6"/>
      <c r="J27" s="6"/>
      <c r="K27" s="6"/>
      <c r="L27" s="10"/>
      <c r="M27" s="11"/>
      <c r="N27" s="11"/>
    </row>
    <row r="28" spans="1:15" s="7" customFormat="1" ht="13.2" x14ac:dyDescent="0.25">
      <c r="A28" s="21"/>
      <c r="B28" s="9" t="s">
        <v>21</v>
      </c>
      <c r="C28" s="6"/>
      <c r="D28" s="6"/>
      <c r="E28" s="6"/>
      <c r="F28" s="6">
        <f>ROUNDUP(K3*($B$1+1)*0.0025,-1)</f>
        <v>1600</v>
      </c>
      <c r="G28" s="25">
        <v>1</v>
      </c>
      <c r="H28" s="26">
        <v>0</v>
      </c>
      <c r="I28" s="6"/>
      <c r="J28" s="6"/>
      <c r="K28" s="6"/>
      <c r="L28" s="10"/>
      <c r="M28" s="11"/>
      <c r="N28" s="11"/>
    </row>
    <row r="29" spans="1:15" s="7" customFormat="1" ht="12.9" customHeight="1" x14ac:dyDescent="0.3">
      <c r="A29" s="15"/>
      <c r="B29" s="73" t="s">
        <v>58</v>
      </c>
      <c r="C29" s="17"/>
      <c r="D29" s="6"/>
      <c r="E29" s="6"/>
      <c r="F29" s="6"/>
      <c r="G29" s="25"/>
      <c r="H29" s="26"/>
      <c r="I29" s="6"/>
      <c r="J29" s="6"/>
      <c r="K29" s="6"/>
      <c r="L29" s="10"/>
      <c r="M29" s="11"/>
      <c r="N29" s="11"/>
    </row>
    <row r="30" spans="1:15" s="64" customFormat="1" ht="13.2" customHeight="1" x14ac:dyDescent="0.3">
      <c r="A30" s="76"/>
      <c r="B30" s="77" t="s">
        <v>59</v>
      </c>
      <c r="C30" s="63"/>
      <c r="D30" s="58"/>
      <c r="E30" s="58"/>
      <c r="F30" s="58"/>
      <c r="G30" s="59"/>
      <c r="H30" s="60"/>
      <c r="I30" s="58"/>
      <c r="J30" s="58"/>
      <c r="K30" s="58"/>
      <c r="L30" s="61"/>
      <c r="M30" s="62"/>
      <c r="N30" s="62"/>
    </row>
    <row r="31" spans="1:15" s="64" customFormat="1" ht="13.2" customHeight="1" x14ac:dyDescent="0.3">
      <c r="A31" s="65" t="s">
        <v>60</v>
      </c>
      <c r="B31" s="66" t="s">
        <v>61</v>
      </c>
      <c r="C31" s="58">
        <v>173.94566</v>
      </c>
      <c r="D31" s="58"/>
      <c r="E31" s="58"/>
      <c r="F31" s="58"/>
      <c r="G31" s="59">
        <v>1</v>
      </c>
      <c r="H31" s="60">
        <v>0.35</v>
      </c>
      <c r="I31" s="58">
        <f t="shared" ref="I31:I34" si="16">(C31*$D$1*1.2+D31*$D$1+E31*$E$1+F31)</f>
        <v>10436.739599999999</v>
      </c>
      <c r="J31" s="58">
        <f t="shared" ref="J31:J34" si="17">I31*G31</f>
        <v>10436.739599999999</v>
      </c>
      <c r="K31" s="58">
        <f t="shared" ref="K31:K34" si="18">I31*(1-H31/1)</f>
        <v>6783.8807399999996</v>
      </c>
      <c r="L31" s="61">
        <f t="shared" ref="L31:L34" si="19">K31*G31</f>
        <v>6783.8807399999996</v>
      </c>
      <c r="M31" s="62"/>
      <c r="N31" s="62"/>
    </row>
    <row r="32" spans="1:15" s="64" customFormat="1" ht="13.2" customHeight="1" x14ac:dyDescent="0.3">
      <c r="A32" s="65" t="s">
        <v>37</v>
      </c>
      <c r="B32" s="66" t="s">
        <v>38</v>
      </c>
      <c r="C32" s="58">
        <v>5.7200000000000006</v>
      </c>
      <c r="D32" s="58"/>
      <c r="E32" s="58"/>
      <c r="F32" s="58"/>
      <c r="G32" s="59">
        <v>1</v>
      </c>
      <c r="H32" s="60">
        <v>0.35</v>
      </c>
      <c r="I32" s="58">
        <f t="shared" si="16"/>
        <v>343.20000000000005</v>
      </c>
      <c r="J32" s="58">
        <f t="shared" si="17"/>
        <v>343.20000000000005</v>
      </c>
      <c r="K32" s="58">
        <f t="shared" si="18"/>
        <v>223.08000000000004</v>
      </c>
      <c r="L32" s="61">
        <f t="shared" si="19"/>
        <v>223.08000000000004</v>
      </c>
      <c r="M32" s="62"/>
      <c r="N32" s="62"/>
    </row>
    <row r="33" spans="1:14" s="64" customFormat="1" ht="13.2" customHeight="1" x14ac:dyDescent="0.3">
      <c r="A33" s="65" t="s">
        <v>102</v>
      </c>
      <c r="B33" s="66" t="s">
        <v>103</v>
      </c>
      <c r="C33" s="58">
        <v>2732.4</v>
      </c>
      <c r="D33" s="58"/>
      <c r="E33" s="58"/>
      <c r="F33" s="58"/>
      <c r="G33" s="59">
        <v>1</v>
      </c>
      <c r="H33" s="60">
        <v>0.35</v>
      </c>
      <c r="I33" s="58">
        <f t="shared" si="16"/>
        <v>163944</v>
      </c>
      <c r="J33" s="58">
        <f t="shared" si="17"/>
        <v>163944</v>
      </c>
      <c r="K33" s="58">
        <f t="shared" si="18"/>
        <v>106563.6</v>
      </c>
      <c r="L33" s="61">
        <f t="shared" si="19"/>
        <v>106563.6</v>
      </c>
      <c r="M33" s="62"/>
      <c r="N33" s="62"/>
    </row>
    <row r="34" spans="1:14" s="64" customFormat="1" ht="13.2" customHeight="1" x14ac:dyDescent="0.3">
      <c r="A34" s="65" t="s">
        <v>62</v>
      </c>
      <c r="B34" s="68" t="s">
        <v>63</v>
      </c>
      <c r="C34" s="58">
        <v>4.26</v>
      </c>
      <c r="D34" s="58"/>
      <c r="E34" s="58"/>
      <c r="F34" s="58"/>
      <c r="G34" s="59">
        <v>1</v>
      </c>
      <c r="H34" s="60">
        <v>0.35</v>
      </c>
      <c r="I34" s="58">
        <f t="shared" si="16"/>
        <v>255.6</v>
      </c>
      <c r="J34" s="58">
        <f t="shared" si="17"/>
        <v>255.6</v>
      </c>
      <c r="K34" s="58">
        <f t="shared" si="18"/>
        <v>166.14000000000001</v>
      </c>
      <c r="L34" s="61">
        <f t="shared" si="19"/>
        <v>166.14000000000001</v>
      </c>
      <c r="M34" s="62"/>
      <c r="N34" s="62"/>
    </row>
    <row r="35" spans="1:14" x14ac:dyDescent="0.3">
      <c r="A35" s="79" t="s">
        <v>68</v>
      </c>
      <c r="B35" s="80" t="s">
        <v>69</v>
      </c>
      <c r="C35" s="58">
        <v>0.94</v>
      </c>
      <c r="D35" s="58"/>
      <c r="E35" s="58"/>
      <c r="F35" s="58"/>
      <c r="G35" s="59">
        <v>1</v>
      </c>
      <c r="H35" s="60">
        <v>0.35</v>
      </c>
      <c r="I35" s="58">
        <f>(C35*$D$1*1.2+D35*$D$1+E35*$E$1+F35)</f>
        <v>56.4</v>
      </c>
      <c r="J35" s="58">
        <f>I35*G35</f>
        <v>56.4</v>
      </c>
      <c r="K35" s="58">
        <f>I35*(1-H35/1)</f>
        <v>36.660000000000004</v>
      </c>
      <c r="L35" s="61">
        <f>K35*G35</f>
        <v>36.660000000000004</v>
      </c>
      <c r="M35" s="62"/>
      <c r="N35" s="62"/>
    </row>
    <row r="36" spans="1:14" s="64" customFormat="1" ht="13.2" customHeight="1" x14ac:dyDescent="0.3">
      <c r="A36" s="70" t="s">
        <v>70</v>
      </c>
      <c r="B36" s="71" t="s">
        <v>71</v>
      </c>
      <c r="C36" s="58">
        <v>4.6083333333333334</v>
      </c>
      <c r="D36" s="58"/>
      <c r="E36" s="58"/>
      <c r="F36" s="58"/>
      <c r="G36" s="59">
        <v>12</v>
      </c>
      <c r="H36" s="60">
        <v>0.2</v>
      </c>
      <c r="I36" s="58">
        <f>(C36*$D$1*1.2+D36*$D$1+E36*$E$1+F36)</f>
        <v>276.5</v>
      </c>
      <c r="J36" s="58">
        <f>I36*G36</f>
        <v>3318</v>
      </c>
      <c r="K36" s="58">
        <f>I36*(1-H36/1)</f>
        <v>221.20000000000002</v>
      </c>
      <c r="L36" s="61">
        <f>K36*G36</f>
        <v>2654.4</v>
      </c>
      <c r="M36" s="62"/>
      <c r="N36" s="62"/>
    </row>
    <row r="37" spans="1:14" s="64" customFormat="1" ht="13.2" customHeight="1" x14ac:dyDescent="0.3">
      <c r="A37" s="70" t="s">
        <v>72</v>
      </c>
      <c r="B37" s="71" t="s">
        <v>73</v>
      </c>
      <c r="C37" s="58"/>
      <c r="D37" s="58">
        <v>8.3034046619999996E-2</v>
      </c>
      <c r="E37" s="58"/>
      <c r="F37" s="58"/>
      <c r="G37" s="59">
        <v>24</v>
      </c>
      <c r="H37" s="60">
        <v>0.2</v>
      </c>
      <c r="I37" s="58">
        <f t="shared" ref="I37:I56" si="20">(C37*$D$1*1.2+D37*$D$1+E37*$E$1+F37)</f>
        <v>4.1517023310000001</v>
      </c>
      <c r="J37" s="58">
        <f t="shared" ref="J37:J56" si="21">I37*G37</f>
        <v>99.640855944000009</v>
      </c>
      <c r="K37" s="58">
        <f t="shared" ref="K37:K56" si="22">I37*(1-H37/1)</f>
        <v>3.3213618648000001</v>
      </c>
      <c r="L37" s="61">
        <f t="shared" ref="L37:L56" si="23">K37*G37</f>
        <v>79.712684755200002</v>
      </c>
      <c r="M37" s="62"/>
      <c r="N37" s="62"/>
    </row>
    <row r="38" spans="1:14" x14ac:dyDescent="0.3">
      <c r="A38" s="79" t="s">
        <v>74</v>
      </c>
      <c r="B38" s="80" t="s">
        <v>75</v>
      </c>
      <c r="C38" s="58">
        <v>1.6194999999999999</v>
      </c>
      <c r="D38" s="58"/>
      <c r="E38" s="58"/>
      <c r="F38" s="69"/>
      <c r="G38" s="59">
        <v>3</v>
      </c>
      <c r="H38" s="60">
        <v>0.35</v>
      </c>
      <c r="I38" s="58">
        <f t="shared" si="20"/>
        <v>97.169999999999987</v>
      </c>
      <c r="J38" s="58">
        <f t="shared" si="21"/>
        <v>291.51</v>
      </c>
      <c r="K38" s="58">
        <f t="shared" si="22"/>
        <v>63.160499999999992</v>
      </c>
      <c r="L38" s="61">
        <f t="shared" si="23"/>
        <v>189.48149999999998</v>
      </c>
      <c r="M38" s="62"/>
      <c r="N38" s="62"/>
    </row>
    <row r="39" spans="1:14" x14ac:dyDescent="0.3">
      <c r="A39" s="79" t="s">
        <v>76</v>
      </c>
      <c r="B39" s="80" t="s">
        <v>77</v>
      </c>
      <c r="C39" s="58">
        <v>4.7211999999999996</v>
      </c>
      <c r="D39" s="58"/>
      <c r="E39" s="58"/>
      <c r="F39" s="69"/>
      <c r="G39" s="59">
        <v>1</v>
      </c>
      <c r="H39" s="60">
        <v>0.35</v>
      </c>
      <c r="I39" s="58">
        <f t="shared" si="20"/>
        <v>283.27199999999993</v>
      </c>
      <c r="J39" s="58">
        <f t="shared" si="21"/>
        <v>283.27199999999993</v>
      </c>
      <c r="K39" s="58">
        <f t="shared" si="22"/>
        <v>184.12679999999997</v>
      </c>
      <c r="L39" s="61">
        <f t="shared" si="23"/>
        <v>184.12679999999997</v>
      </c>
      <c r="M39" s="62"/>
      <c r="N39" s="62"/>
    </row>
    <row r="40" spans="1:14" x14ac:dyDescent="0.3">
      <c r="A40" s="79" t="s">
        <v>78</v>
      </c>
      <c r="B40" s="80" t="s">
        <v>79</v>
      </c>
      <c r="C40" s="58">
        <v>0.2</v>
      </c>
      <c r="D40" s="58"/>
      <c r="E40" s="58"/>
      <c r="F40" s="69"/>
      <c r="G40" s="59">
        <v>4</v>
      </c>
      <c r="H40" s="60">
        <v>0.35</v>
      </c>
      <c r="I40" s="58">
        <f t="shared" si="20"/>
        <v>12</v>
      </c>
      <c r="J40" s="58">
        <f t="shared" si="21"/>
        <v>48</v>
      </c>
      <c r="K40" s="58">
        <f t="shared" si="22"/>
        <v>7.8000000000000007</v>
      </c>
      <c r="L40" s="61">
        <f t="shared" si="23"/>
        <v>31.200000000000003</v>
      </c>
      <c r="M40" s="62"/>
      <c r="N40" s="62"/>
    </row>
    <row r="41" spans="1:14" x14ac:dyDescent="0.3">
      <c r="A41" s="79" t="s">
        <v>80</v>
      </c>
      <c r="B41" s="80" t="s">
        <v>81</v>
      </c>
      <c r="C41" s="58">
        <v>0.52669999999999995</v>
      </c>
      <c r="D41" s="58"/>
      <c r="E41" s="58"/>
      <c r="F41" s="58"/>
      <c r="G41" s="59">
        <v>1</v>
      </c>
      <c r="H41" s="60">
        <v>0.35</v>
      </c>
      <c r="I41" s="58">
        <f t="shared" si="20"/>
        <v>31.601999999999997</v>
      </c>
      <c r="J41" s="58">
        <f t="shared" si="21"/>
        <v>31.601999999999997</v>
      </c>
      <c r="K41" s="58">
        <f t="shared" si="22"/>
        <v>20.5413</v>
      </c>
      <c r="L41" s="61">
        <f t="shared" si="23"/>
        <v>20.5413</v>
      </c>
      <c r="M41" s="62"/>
      <c r="N41" s="62"/>
    </row>
    <row r="42" spans="1:14" x14ac:dyDescent="0.3">
      <c r="A42" s="79" t="s">
        <v>82</v>
      </c>
      <c r="B42" s="80" t="s">
        <v>83</v>
      </c>
      <c r="C42" s="58">
        <v>0.48399999999999999</v>
      </c>
      <c r="D42" s="58"/>
      <c r="E42" s="58"/>
      <c r="F42" s="58"/>
      <c r="G42" s="59">
        <v>1</v>
      </c>
      <c r="H42" s="60">
        <v>0.35</v>
      </c>
      <c r="I42" s="58">
        <f t="shared" si="20"/>
        <v>29.04</v>
      </c>
      <c r="J42" s="58">
        <f t="shared" si="21"/>
        <v>29.04</v>
      </c>
      <c r="K42" s="58">
        <f t="shared" si="22"/>
        <v>18.876000000000001</v>
      </c>
      <c r="L42" s="61">
        <f t="shared" si="23"/>
        <v>18.876000000000001</v>
      </c>
      <c r="M42" s="62"/>
      <c r="N42" s="62"/>
    </row>
    <row r="43" spans="1:14" x14ac:dyDescent="0.3">
      <c r="A43" s="79" t="s">
        <v>84</v>
      </c>
      <c r="B43" s="80" t="s">
        <v>85</v>
      </c>
      <c r="C43" s="58">
        <v>0.23380000000000001</v>
      </c>
      <c r="D43" s="58"/>
      <c r="E43" s="58"/>
      <c r="F43" s="69"/>
      <c r="G43" s="59">
        <v>1</v>
      </c>
      <c r="H43" s="60">
        <v>0.35</v>
      </c>
      <c r="I43" s="58">
        <f t="shared" si="20"/>
        <v>14.028</v>
      </c>
      <c r="J43" s="58">
        <f t="shared" si="21"/>
        <v>14.028</v>
      </c>
      <c r="K43" s="58">
        <f t="shared" si="22"/>
        <v>9.1181999999999999</v>
      </c>
      <c r="L43" s="61">
        <f t="shared" si="23"/>
        <v>9.1181999999999999</v>
      </c>
      <c r="M43" s="62"/>
      <c r="N43" s="62"/>
    </row>
    <row r="44" spans="1:14" x14ac:dyDescent="0.3">
      <c r="A44" s="79" t="s">
        <v>86</v>
      </c>
      <c r="B44" s="80" t="s">
        <v>87</v>
      </c>
      <c r="C44" s="58">
        <v>1</v>
      </c>
      <c r="D44" s="58"/>
      <c r="E44" s="58"/>
      <c r="F44" s="69"/>
      <c r="G44" s="59">
        <v>3</v>
      </c>
      <c r="H44" s="60">
        <v>0.35</v>
      </c>
      <c r="I44" s="58">
        <f t="shared" si="20"/>
        <v>60</v>
      </c>
      <c r="J44" s="58">
        <f t="shared" si="21"/>
        <v>180</v>
      </c>
      <c r="K44" s="58">
        <f t="shared" si="22"/>
        <v>39</v>
      </c>
      <c r="L44" s="61">
        <f t="shared" si="23"/>
        <v>117</v>
      </c>
      <c r="M44" s="62"/>
      <c r="N44" s="62"/>
    </row>
    <row r="45" spans="1:14" s="64" customFormat="1" ht="13.2" customHeight="1" x14ac:dyDescent="0.3">
      <c r="A45" s="70" t="s">
        <v>23</v>
      </c>
      <c r="B45" s="71" t="s">
        <v>24</v>
      </c>
      <c r="C45" s="58">
        <v>0.21666666666666667</v>
      </c>
      <c r="D45" s="58"/>
      <c r="E45" s="58"/>
      <c r="F45" s="58"/>
      <c r="G45" s="59">
        <v>30</v>
      </c>
      <c r="H45" s="60">
        <v>0.2</v>
      </c>
      <c r="I45" s="58">
        <f t="shared" si="20"/>
        <v>13</v>
      </c>
      <c r="J45" s="58">
        <f t="shared" si="21"/>
        <v>390</v>
      </c>
      <c r="K45" s="58">
        <f t="shared" si="22"/>
        <v>10.4</v>
      </c>
      <c r="L45" s="61">
        <f t="shared" si="23"/>
        <v>312</v>
      </c>
      <c r="M45" s="62"/>
      <c r="N45" s="62"/>
    </row>
    <row r="46" spans="1:14" s="64" customFormat="1" ht="13.2" customHeight="1" x14ac:dyDescent="0.3">
      <c r="A46" s="70" t="s">
        <v>25</v>
      </c>
      <c r="B46" s="71" t="s">
        <v>26</v>
      </c>
      <c r="C46" s="58"/>
      <c r="D46" s="58">
        <v>1.4170481009999998E-2</v>
      </c>
      <c r="E46" s="58"/>
      <c r="F46" s="58"/>
      <c r="G46" s="59">
        <v>20</v>
      </c>
      <c r="H46" s="60">
        <v>0.2</v>
      </c>
      <c r="I46" s="58">
        <f t="shared" si="20"/>
        <v>0.70852405049999989</v>
      </c>
      <c r="J46" s="58">
        <f t="shared" si="21"/>
        <v>14.170481009999998</v>
      </c>
      <c r="K46" s="58">
        <f t="shared" si="22"/>
        <v>0.56681924039999998</v>
      </c>
      <c r="L46" s="61">
        <f t="shared" si="23"/>
        <v>11.336384808</v>
      </c>
      <c r="M46" s="62"/>
      <c r="N46" s="62"/>
    </row>
    <row r="47" spans="1:14" x14ac:dyDescent="0.3">
      <c r="A47" s="79" t="s">
        <v>88</v>
      </c>
      <c r="B47" s="80" t="s">
        <v>89</v>
      </c>
      <c r="C47" s="58">
        <v>2.6768999999999998</v>
      </c>
      <c r="D47" s="58"/>
      <c r="E47" s="58"/>
      <c r="F47" s="69"/>
      <c r="G47" s="59">
        <v>3</v>
      </c>
      <c r="H47" s="60">
        <v>0.35</v>
      </c>
      <c r="I47" s="58">
        <f t="shared" si="20"/>
        <v>160.614</v>
      </c>
      <c r="J47" s="58">
        <f t="shared" si="21"/>
        <v>481.84199999999998</v>
      </c>
      <c r="K47" s="58">
        <f t="shared" si="22"/>
        <v>104.3991</v>
      </c>
      <c r="L47" s="61">
        <f t="shared" si="23"/>
        <v>313.19730000000004</v>
      </c>
      <c r="M47" s="62"/>
      <c r="N47" s="62"/>
    </row>
    <row r="48" spans="1:14" x14ac:dyDescent="0.3">
      <c r="A48" s="81" t="s">
        <v>90</v>
      </c>
      <c r="B48" s="80" t="s">
        <v>91</v>
      </c>
      <c r="C48" s="58">
        <v>0.06</v>
      </c>
      <c r="D48" s="58"/>
      <c r="E48" s="58"/>
      <c r="F48" s="69"/>
      <c r="G48" s="59">
        <f>G47*2</f>
        <v>6</v>
      </c>
      <c r="H48" s="60">
        <v>0.35</v>
      </c>
      <c r="I48" s="58">
        <f t="shared" si="20"/>
        <v>3.5999999999999996</v>
      </c>
      <c r="J48" s="58">
        <f t="shared" si="21"/>
        <v>21.599999999999998</v>
      </c>
      <c r="K48" s="58">
        <f t="shared" si="22"/>
        <v>2.34</v>
      </c>
      <c r="L48" s="61">
        <f t="shared" si="23"/>
        <v>14.04</v>
      </c>
      <c r="M48" s="62"/>
      <c r="N48" s="62"/>
    </row>
    <row r="49" spans="1:14" x14ac:dyDescent="0.3">
      <c r="A49" s="79" t="s">
        <v>92</v>
      </c>
      <c r="B49" s="80" t="s">
        <v>93</v>
      </c>
      <c r="C49" s="58">
        <v>0.51646000000000003</v>
      </c>
      <c r="D49" s="58"/>
      <c r="E49" s="58"/>
      <c r="F49" s="58"/>
      <c r="G49" s="59">
        <v>1</v>
      </c>
      <c r="H49" s="60">
        <v>0.35</v>
      </c>
      <c r="I49" s="58">
        <f t="shared" si="20"/>
        <v>30.9876</v>
      </c>
      <c r="J49" s="58">
        <f t="shared" si="21"/>
        <v>30.9876</v>
      </c>
      <c r="K49" s="58">
        <f t="shared" si="22"/>
        <v>20.141940000000002</v>
      </c>
      <c r="L49" s="61">
        <f t="shared" si="23"/>
        <v>20.141940000000002</v>
      </c>
      <c r="M49" s="62"/>
      <c r="N49" s="62"/>
    </row>
    <row r="50" spans="1:14" x14ac:dyDescent="0.3">
      <c r="A50" s="79" t="s">
        <v>94</v>
      </c>
      <c r="B50" s="80" t="s">
        <v>95</v>
      </c>
      <c r="C50" s="58">
        <v>1.8270999999999999</v>
      </c>
      <c r="D50" s="58"/>
      <c r="E50" s="58"/>
      <c r="F50" s="69"/>
      <c r="G50" s="59">
        <v>1</v>
      </c>
      <c r="H50" s="60">
        <v>0.35</v>
      </c>
      <c r="I50" s="58">
        <f t="shared" si="20"/>
        <v>109.626</v>
      </c>
      <c r="J50" s="58">
        <f t="shared" si="21"/>
        <v>109.626</v>
      </c>
      <c r="K50" s="58">
        <f t="shared" si="22"/>
        <v>71.256900000000002</v>
      </c>
      <c r="L50" s="61">
        <f t="shared" si="23"/>
        <v>71.256900000000002</v>
      </c>
      <c r="M50" s="62"/>
      <c r="N50" s="62"/>
    </row>
    <row r="51" spans="1:14" x14ac:dyDescent="0.3">
      <c r="A51" s="79" t="s">
        <v>96</v>
      </c>
      <c r="B51" s="80" t="s">
        <v>97</v>
      </c>
      <c r="C51" s="58">
        <v>0.05</v>
      </c>
      <c r="D51" s="58"/>
      <c r="E51" s="58"/>
      <c r="F51" s="69"/>
      <c r="G51" s="59">
        <v>2</v>
      </c>
      <c r="H51" s="60">
        <v>0.35</v>
      </c>
      <c r="I51" s="58">
        <f t="shared" si="20"/>
        <v>3</v>
      </c>
      <c r="J51" s="58">
        <f t="shared" si="21"/>
        <v>6</v>
      </c>
      <c r="K51" s="58">
        <f t="shared" si="22"/>
        <v>1.9500000000000002</v>
      </c>
      <c r="L51" s="61">
        <f t="shared" si="23"/>
        <v>3.9000000000000004</v>
      </c>
      <c r="M51" s="62"/>
      <c r="N51" s="62"/>
    </row>
    <row r="52" spans="1:14" x14ac:dyDescent="0.3">
      <c r="A52" s="79" t="s">
        <v>98</v>
      </c>
      <c r="B52" s="80" t="s">
        <v>99</v>
      </c>
      <c r="C52" s="58">
        <v>0.34410000000000002</v>
      </c>
      <c r="D52" s="58"/>
      <c r="E52" s="58"/>
      <c r="F52" s="58"/>
      <c r="G52" s="59">
        <v>1</v>
      </c>
      <c r="H52" s="60">
        <v>0.35</v>
      </c>
      <c r="I52" s="58">
        <f t="shared" si="20"/>
        <v>20.646000000000001</v>
      </c>
      <c r="J52" s="58">
        <f t="shared" si="21"/>
        <v>20.646000000000001</v>
      </c>
      <c r="K52" s="58">
        <f t="shared" si="22"/>
        <v>13.4199</v>
      </c>
      <c r="L52" s="61">
        <f t="shared" si="23"/>
        <v>13.4199</v>
      </c>
      <c r="M52" s="62"/>
      <c r="N52" s="62"/>
    </row>
    <row r="53" spans="1:14" x14ac:dyDescent="0.3">
      <c r="A53" s="79" t="s">
        <v>82</v>
      </c>
      <c r="B53" s="80" t="s">
        <v>83</v>
      </c>
      <c r="C53" s="58">
        <v>0.48399999999999999</v>
      </c>
      <c r="D53" s="58"/>
      <c r="E53" s="58"/>
      <c r="F53" s="58"/>
      <c r="G53" s="59">
        <v>1</v>
      </c>
      <c r="H53" s="60">
        <v>0.35</v>
      </c>
      <c r="I53" s="58">
        <f t="shared" si="20"/>
        <v>29.04</v>
      </c>
      <c r="J53" s="58">
        <f t="shared" si="21"/>
        <v>29.04</v>
      </c>
      <c r="K53" s="58">
        <f t="shared" si="22"/>
        <v>18.876000000000001</v>
      </c>
      <c r="L53" s="61">
        <f t="shared" si="23"/>
        <v>18.876000000000001</v>
      </c>
      <c r="M53" s="62"/>
      <c r="N53" s="62"/>
    </row>
    <row r="54" spans="1:14" x14ac:dyDescent="0.3">
      <c r="A54" s="79" t="s">
        <v>84</v>
      </c>
      <c r="B54" s="80" t="s">
        <v>85</v>
      </c>
      <c r="C54" s="58">
        <v>0.23380000000000001</v>
      </c>
      <c r="D54" s="58"/>
      <c r="E54" s="58"/>
      <c r="F54" s="69"/>
      <c r="G54" s="59">
        <v>1</v>
      </c>
      <c r="H54" s="60">
        <v>0.35</v>
      </c>
      <c r="I54" s="58">
        <f t="shared" si="20"/>
        <v>14.028</v>
      </c>
      <c r="J54" s="58">
        <f t="shared" si="21"/>
        <v>14.028</v>
      </c>
      <c r="K54" s="58">
        <f t="shared" si="22"/>
        <v>9.1181999999999999</v>
      </c>
      <c r="L54" s="61">
        <f t="shared" si="23"/>
        <v>9.1181999999999999</v>
      </c>
      <c r="M54" s="62"/>
      <c r="N54" s="62"/>
    </row>
    <row r="55" spans="1:14" x14ac:dyDescent="0.3">
      <c r="A55" s="79" t="s">
        <v>86</v>
      </c>
      <c r="B55" s="80" t="s">
        <v>87</v>
      </c>
      <c r="C55" s="58">
        <v>1</v>
      </c>
      <c r="D55" s="58"/>
      <c r="E55" s="58"/>
      <c r="F55" s="69"/>
      <c r="G55" s="59">
        <v>3</v>
      </c>
      <c r="H55" s="60">
        <v>0.35</v>
      </c>
      <c r="I55" s="58">
        <f t="shared" si="20"/>
        <v>60</v>
      </c>
      <c r="J55" s="58">
        <f t="shared" si="21"/>
        <v>180</v>
      </c>
      <c r="K55" s="58">
        <f t="shared" si="22"/>
        <v>39</v>
      </c>
      <c r="L55" s="61">
        <f t="shared" si="23"/>
        <v>117</v>
      </c>
      <c r="M55" s="62"/>
      <c r="N55" s="62"/>
    </row>
    <row r="56" spans="1:14" s="64" customFormat="1" x14ac:dyDescent="0.3">
      <c r="A56" s="79" t="s">
        <v>100</v>
      </c>
      <c r="B56" s="80" t="s">
        <v>101</v>
      </c>
      <c r="C56" s="58">
        <v>1.3571</v>
      </c>
      <c r="D56" s="58"/>
      <c r="E56" s="58"/>
      <c r="F56" s="69"/>
      <c r="G56" s="59">
        <v>1</v>
      </c>
      <c r="H56" s="60">
        <v>0.35</v>
      </c>
      <c r="I56" s="58">
        <f t="shared" si="20"/>
        <v>81.426000000000002</v>
      </c>
      <c r="J56" s="58">
        <f t="shared" si="21"/>
        <v>81.426000000000002</v>
      </c>
      <c r="K56" s="58">
        <f t="shared" si="22"/>
        <v>52.926900000000003</v>
      </c>
      <c r="L56" s="61">
        <f t="shared" si="23"/>
        <v>52.926900000000003</v>
      </c>
      <c r="M56" s="62"/>
      <c r="N56" s="62"/>
    </row>
    <row r="57" spans="1:14" s="64" customFormat="1" ht="13.2" customHeight="1" x14ac:dyDescent="0.3">
      <c r="A57" s="76"/>
      <c r="B57" s="77" t="s">
        <v>106</v>
      </c>
      <c r="C57" s="63"/>
      <c r="D57" s="58"/>
      <c r="E57" s="58"/>
      <c r="F57" s="58"/>
      <c r="G57" s="59"/>
      <c r="H57" s="60"/>
      <c r="I57" s="58"/>
      <c r="J57" s="58"/>
      <c r="K57" s="58"/>
      <c r="L57" s="61"/>
      <c r="M57" s="62"/>
      <c r="N57" s="62"/>
    </row>
    <row r="58" spans="1:14" s="64" customFormat="1" ht="13.2" customHeight="1" x14ac:dyDescent="0.3">
      <c r="A58" s="65" t="s">
        <v>107</v>
      </c>
      <c r="B58" s="66" t="s">
        <v>108</v>
      </c>
      <c r="C58" s="58">
        <v>163.39918</v>
      </c>
      <c r="D58" s="58"/>
      <c r="E58" s="58"/>
      <c r="F58" s="58"/>
      <c r="G58" s="59">
        <v>2</v>
      </c>
      <c r="H58" s="60">
        <v>0.35</v>
      </c>
      <c r="I58" s="58">
        <f t="shared" ref="I58:I64" si="24">(C58*$D$1*1.2+D58*$D$1+E58*$E$1+F58)</f>
        <v>9803.9507999999987</v>
      </c>
      <c r="J58" s="58">
        <f t="shared" ref="J58:J64" si="25">I58*G58</f>
        <v>19607.901599999997</v>
      </c>
      <c r="K58" s="58">
        <f t="shared" ref="K58:K64" si="26">I58*(1-H58/1)</f>
        <v>6372.5680199999997</v>
      </c>
      <c r="L58" s="61">
        <f t="shared" ref="L58:L64" si="27">K58*G58</f>
        <v>12745.136039999999</v>
      </c>
      <c r="M58" s="62"/>
      <c r="N58" s="62"/>
    </row>
    <row r="59" spans="1:14" s="64" customFormat="1" ht="13.2" customHeight="1" x14ac:dyDescent="0.3">
      <c r="A59" s="65" t="s">
        <v>37</v>
      </c>
      <c r="B59" s="66" t="s">
        <v>38</v>
      </c>
      <c r="C59" s="58">
        <v>5.7200000000000006</v>
      </c>
      <c r="D59" s="58"/>
      <c r="E59" s="58"/>
      <c r="F59" s="58"/>
      <c r="G59" s="59">
        <v>2</v>
      </c>
      <c r="H59" s="60">
        <v>0.35</v>
      </c>
      <c r="I59" s="58">
        <f t="shared" si="24"/>
        <v>343.20000000000005</v>
      </c>
      <c r="J59" s="58">
        <f t="shared" si="25"/>
        <v>686.40000000000009</v>
      </c>
      <c r="K59" s="58">
        <f t="shared" si="26"/>
        <v>223.08000000000004</v>
      </c>
      <c r="L59" s="61">
        <f t="shared" si="27"/>
        <v>446.16000000000008</v>
      </c>
      <c r="M59" s="62"/>
      <c r="N59" s="62"/>
    </row>
    <row r="60" spans="1:14" s="64" customFormat="1" ht="13.2" customHeight="1" x14ac:dyDescent="0.3">
      <c r="A60" s="65" t="s">
        <v>104</v>
      </c>
      <c r="B60" s="66" t="s">
        <v>105</v>
      </c>
      <c r="C60" s="58">
        <v>1995.11</v>
      </c>
      <c r="D60" s="58"/>
      <c r="E60" s="58"/>
      <c r="F60" s="58"/>
      <c r="G60" s="59">
        <v>2</v>
      </c>
      <c r="H60" s="60">
        <v>0.25</v>
      </c>
      <c r="I60" s="58">
        <f t="shared" si="24"/>
        <v>119706.59999999999</v>
      </c>
      <c r="J60" s="58">
        <f t="shared" si="25"/>
        <v>239413.19999999998</v>
      </c>
      <c r="K60" s="58">
        <f t="shared" si="26"/>
        <v>89779.95</v>
      </c>
      <c r="L60" s="61">
        <f t="shared" si="27"/>
        <v>179559.9</v>
      </c>
      <c r="M60" s="62"/>
      <c r="N60" s="62"/>
    </row>
    <row r="61" spans="1:14" s="64" customFormat="1" ht="13.2" customHeight="1" x14ac:dyDescent="0.3">
      <c r="A61" s="65" t="s">
        <v>62</v>
      </c>
      <c r="B61" s="68" t="s">
        <v>63</v>
      </c>
      <c r="C61" s="58">
        <v>4.26</v>
      </c>
      <c r="D61" s="58"/>
      <c r="E61" s="58"/>
      <c r="F61" s="58"/>
      <c r="G61" s="59">
        <v>2</v>
      </c>
      <c r="H61" s="60">
        <v>0.35</v>
      </c>
      <c r="I61" s="58">
        <f t="shared" si="24"/>
        <v>255.6</v>
      </c>
      <c r="J61" s="58">
        <f t="shared" si="25"/>
        <v>511.2</v>
      </c>
      <c r="K61" s="58">
        <f t="shared" si="26"/>
        <v>166.14000000000001</v>
      </c>
      <c r="L61" s="61">
        <f t="shared" si="27"/>
        <v>332.28000000000003</v>
      </c>
      <c r="M61" s="62"/>
      <c r="N61" s="62"/>
    </row>
    <row r="62" spans="1:14" s="64" customFormat="1" ht="13.2" customHeight="1" x14ac:dyDescent="0.3">
      <c r="A62" s="67" t="s">
        <v>64</v>
      </c>
      <c r="B62" s="78" t="s">
        <v>65</v>
      </c>
      <c r="C62" s="58">
        <v>5.23</v>
      </c>
      <c r="D62" s="58"/>
      <c r="E62" s="58"/>
      <c r="F62" s="58"/>
      <c r="G62" s="59">
        <v>2</v>
      </c>
      <c r="H62" s="60">
        <v>0.35</v>
      </c>
      <c r="I62" s="58">
        <f t="shared" si="24"/>
        <v>313.8</v>
      </c>
      <c r="J62" s="58">
        <f t="shared" si="25"/>
        <v>627.6</v>
      </c>
      <c r="K62" s="58">
        <f t="shared" si="26"/>
        <v>203.97000000000003</v>
      </c>
      <c r="L62" s="61">
        <f t="shared" si="27"/>
        <v>407.94000000000005</v>
      </c>
      <c r="M62" s="62"/>
      <c r="N62" s="62"/>
    </row>
    <row r="63" spans="1:14" x14ac:dyDescent="0.3">
      <c r="A63" s="67" t="s">
        <v>66</v>
      </c>
      <c r="B63" s="78" t="s">
        <v>67</v>
      </c>
      <c r="C63" s="58">
        <v>1.2</v>
      </c>
      <c r="D63" s="58"/>
      <c r="E63" s="58"/>
      <c r="F63" s="58"/>
      <c r="G63" s="59">
        <v>2</v>
      </c>
      <c r="H63" s="60">
        <v>0.35</v>
      </c>
      <c r="I63" s="58">
        <f t="shared" si="24"/>
        <v>72</v>
      </c>
      <c r="J63" s="58">
        <f t="shared" si="25"/>
        <v>144</v>
      </c>
      <c r="K63" s="58">
        <f t="shared" si="26"/>
        <v>46.800000000000004</v>
      </c>
      <c r="L63" s="61">
        <f t="shared" si="27"/>
        <v>93.600000000000009</v>
      </c>
      <c r="M63" s="62"/>
      <c r="N63" s="62"/>
    </row>
    <row r="64" spans="1:14" s="64" customFormat="1" ht="13.2" customHeight="1" x14ac:dyDescent="0.3">
      <c r="A64" s="67" t="s">
        <v>39</v>
      </c>
      <c r="B64" s="66" t="s">
        <v>40</v>
      </c>
      <c r="C64" s="58">
        <v>2.94</v>
      </c>
      <c r="D64" s="58"/>
      <c r="E64" s="58"/>
      <c r="F64" s="58"/>
      <c r="G64" s="59">
        <v>6</v>
      </c>
      <c r="H64" s="60">
        <v>0.35</v>
      </c>
      <c r="I64" s="58">
        <f t="shared" si="24"/>
        <v>176.4</v>
      </c>
      <c r="J64" s="58">
        <f t="shared" si="25"/>
        <v>1058.4000000000001</v>
      </c>
      <c r="K64" s="58">
        <f t="shared" si="26"/>
        <v>114.66000000000001</v>
      </c>
      <c r="L64" s="61">
        <f t="shared" si="27"/>
        <v>687.96</v>
      </c>
      <c r="M64" s="62"/>
      <c r="N64" s="62"/>
    </row>
    <row r="65" spans="1:14" s="64" customFormat="1" ht="13.2" customHeight="1" x14ac:dyDescent="0.3">
      <c r="A65" s="70" t="s">
        <v>109</v>
      </c>
      <c r="B65" s="71" t="s">
        <v>110</v>
      </c>
      <c r="C65" s="58">
        <v>1.7249999999999999</v>
      </c>
      <c r="D65" s="58"/>
      <c r="E65" s="58"/>
      <c r="F65" s="58"/>
      <c r="G65" s="59">
        <v>24</v>
      </c>
      <c r="H65" s="60">
        <v>0.2</v>
      </c>
      <c r="I65" s="58">
        <f>(C65*$D$1*1.2+D65*$D$1+E65*$E$1+F65)</f>
        <v>103.5</v>
      </c>
      <c r="J65" s="58">
        <f>I65*G65</f>
        <v>2484</v>
      </c>
      <c r="K65" s="58">
        <f>I65*(1-H65/1)</f>
        <v>82.800000000000011</v>
      </c>
      <c r="L65" s="61">
        <f>K65*G65</f>
        <v>1987.2000000000003</v>
      </c>
      <c r="M65" s="62"/>
      <c r="N65" s="62"/>
    </row>
    <row r="66" spans="1:14" s="64" customFormat="1" ht="13.2" customHeight="1" x14ac:dyDescent="0.3">
      <c r="A66" s="70" t="s">
        <v>111</v>
      </c>
      <c r="B66" s="71" t="s">
        <v>112</v>
      </c>
      <c r="C66" s="63"/>
      <c r="D66" s="58">
        <v>4.0149696195000001E-2</v>
      </c>
      <c r="E66" s="58"/>
      <c r="F66" s="58"/>
      <c r="G66" s="59">
        <v>48</v>
      </c>
      <c r="H66" s="60">
        <v>0.2</v>
      </c>
      <c r="I66" s="58">
        <f t="shared" ref="I66:I86" si="28">(C66*$D$1*1.2+D66*$D$1+E66*$E$1+F66)</f>
        <v>2.0074848097500002</v>
      </c>
      <c r="J66" s="58">
        <f t="shared" ref="J66:J86" si="29">I66*G66</f>
        <v>96.35927086800001</v>
      </c>
      <c r="K66" s="58">
        <f t="shared" ref="K66:K86" si="30">I66*(1-H66/1)</f>
        <v>1.6059878478000003</v>
      </c>
      <c r="L66" s="61">
        <f t="shared" ref="L66:L86" si="31">K66*G66</f>
        <v>77.087416694400019</v>
      </c>
      <c r="M66" s="62"/>
      <c r="N66" s="62"/>
    </row>
    <row r="67" spans="1:14" x14ac:dyDescent="0.3">
      <c r="A67" s="79" t="s">
        <v>74</v>
      </c>
      <c r="B67" s="80" t="s">
        <v>75</v>
      </c>
      <c r="C67" s="58">
        <v>1.6194999999999999</v>
      </c>
      <c r="D67" s="58"/>
      <c r="E67" s="58"/>
      <c r="F67" s="58"/>
      <c r="G67" s="59">
        <v>6</v>
      </c>
      <c r="H67" s="60">
        <v>0.35</v>
      </c>
      <c r="I67" s="58">
        <f t="shared" si="28"/>
        <v>97.169999999999987</v>
      </c>
      <c r="J67" s="58">
        <f t="shared" si="29"/>
        <v>583.02</v>
      </c>
      <c r="K67" s="58">
        <f t="shared" si="30"/>
        <v>63.160499999999992</v>
      </c>
      <c r="L67" s="61">
        <f t="shared" si="31"/>
        <v>378.96299999999997</v>
      </c>
      <c r="M67" s="62"/>
      <c r="N67" s="62"/>
    </row>
    <row r="68" spans="1:14" x14ac:dyDescent="0.3">
      <c r="A68" s="79" t="s">
        <v>76</v>
      </c>
      <c r="B68" s="80" t="s">
        <v>77</v>
      </c>
      <c r="C68" s="58">
        <v>4.7211999999999996</v>
      </c>
      <c r="D68" s="58"/>
      <c r="E68" s="58"/>
      <c r="F68" s="58"/>
      <c r="G68" s="59">
        <v>2</v>
      </c>
      <c r="H68" s="60">
        <v>0.35</v>
      </c>
      <c r="I68" s="58">
        <f t="shared" si="28"/>
        <v>283.27199999999993</v>
      </c>
      <c r="J68" s="58">
        <f t="shared" si="29"/>
        <v>566.54399999999987</v>
      </c>
      <c r="K68" s="58">
        <f t="shared" si="30"/>
        <v>184.12679999999997</v>
      </c>
      <c r="L68" s="61">
        <f t="shared" si="31"/>
        <v>368.25359999999995</v>
      </c>
      <c r="M68" s="62"/>
      <c r="N68" s="62"/>
    </row>
    <row r="69" spans="1:14" x14ac:dyDescent="0.3">
      <c r="A69" s="79" t="s">
        <v>78</v>
      </c>
      <c r="B69" s="80" t="s">
        <v>79</v>
      </c>
      <c r="C69" s="58">
        <v>0.2</v>
      </c>
      <c r="D69" s="58"/>
      <c r="E69" s="58"/>
      <c r="F69" s="58"/>
      <c r="G69" s="59">
        <v>8</v>
      </c>
      <c r="H69" s="60">
        <v>0.35</v>
      </c>
      <c r="I69" s="58">
        <f t="shared" si="28"/>
        <v>12</v>
      </c>
      <c r="J69" s="58">
        <f t="shared" si="29"/>
        <v>96</v>
      </c>
      <c r="K69" s="58">
        <f t="shared" si="30"/>
        <v>7.8000000000000007</v>
      </c>
      <c r="L69" s="61">
        <f t="shared" si="31"/>
        <v>62.400000000000006</v>
      </c>
      <c r="M69" s="62"/>
      <c r="N69" s="62"/>
    </row>
    <row r="70" spans="1:14" x14ac:dyDescent="0.3">
      <c r="A70" s="79" t="s">
        <v>80</v>
      </c>
      <c r="B70" s="80" t="s">
        <v>81</v>
      </c>
      <c r="C70" s="58">
        <v>0.52669999999999995</v>
      </c>
      <c r="D70" s="58"/>
      <c r="E70" s="58"/>
      <c r="F70" s="58"/>
      <c r="G70" s="59">
        <v>2</v>
      </c>
      <c r="H70" s="60">
        <v>0.35</v>
      </c>
      <c r="I70" s="58">
        <f t="shared" si="28"/>
        <v>31.601999999999997</v>
      </c>
      <c r="J70" s="58">
        <f t="shared" si="29"/>
        <v>63.203999999999994</v>
      </c>
      <c r="K70" s="58">
        <f t="shared" si="30"/>
        <v>20.5413</v>
      </c>
      <c r="L70" s="61">
        <f t="shared" si="31"/>
        <v>41.082599999999999</v>
      </c>
      <c r="M70" s="62"/>
      <c r="N70" s="62"/>
    </row>
    <row r="71" spans="1:14" x14ac:dyDescent="0.3">
      <c r="A71" s="79" t="s">
        <v>82</v>
      </c>
      <c r="B71" s="80" t="s">
        <v>83</v>
      </c>
      <c r="C71" s="58">
        <v>0.48399999999999999</v>
      </c>
      <c r="D71" s="58"/>
      <c r="E71" s="58"/>
      <c r="F71" s="58"/>
      <c r="G71" s="59">
        <v>2</v>
      </c>
      <c r="H71" s="60">
        <v>0.35</v>
      </c>
      <c r="I71" s="58">
        <f t="shared" si="28"/>
        <v>29.04</v>
      </c>
      <c r="J71" s="58">
        <f t="shared" si="29"/>
        <v>58.08</v>
      </c>
      <c r="K71" s="58">
        <f t="shared" si="30"/>
        <v>18.876000000000001</v>
      </c>
      <c r="L71" s="61">
        <f t="shared" si="31"/>
        <v>37.752000000000002</v>
      </c>
      <c r="M71" s="62"/>
      <c r="N71" s="62"/>
    </row>
    <row r="72" spans="1:14" x14ac:dyDescent="0.3">
      <c r="A72" s="79" t="s">
        <v>84</v>
      </c>
      <c r="B72" s="80" t="s">
        <v>85</v>
      </c>
      <c r="C72" s="58">
        <v>0.23380000000000001</v>
      </c>
      <c r="D72" s="58"/>
      <c r="E72" s="58"/>
      <c r="F72" s="58"/>
      <c r="G72" s="59">
        <v>2</v>
      </c>
      <c r="H72" s="60">
        <v>0.35</v>
      </c>
      <c r="I72" s="58">
        <f t="shared" si="28"/>
        <v>14.028</v>
      </c>
      <c r="J72" s="58">
        <f t="shared" si="29"/>
        <v>28.056000000000001</v>
      </c>
      <c r="K72" s="58">
        <f t="shared" si="30"/>
        <v>9.1181999999999999</v>
      </c>
      <c r="L72" s="61">
        <f t="shared" si="31"/>
        <v>18.2364</v>
      </c>
      <c r="M72" s="62"/>
      <c r="N72" s="62"/>
    </row>
    <row r="73" spans="1:14" x14ac:dyDescent="0.3">
      <c r="A73" s="79" t="s">
        <v>86</v>
      </c>
      <c r="B73" s="80" t="s">
        <v>87</v>
      </c>
      <c r="C73" s="58">
        <v>1</v>
      </c>
      <c r="D73" s="58"/>
      <c r="E73" s="58"/>
      <c r="F73" s="58"/>
      <c r="G73" s="59">
        <v>6</v>
      </c>
      <c r="H73" s="60">
        <v>0.35</v>
      </c>
      <c r="I73" s="58">
        <f t="shared" si="28"/>
        <v>60</v>
      </c>
      <c r="J73" s="58">
        <f t="shared" si="29"/>
        <v>360</v>
      </c>
      <c r="K73" s="58">
        <f t="shared" si="30"/>
        <v>39</v>
      </c>
      <c r="L73" s="61">
        <f t="shared" si="31"/>
        <v>234</v>
      </c>
      <c r="M73" s="62"/>
      <c r="N73" s="62"/>
    </row>
    <row r="74" spans="1:14" s="64" customFormat="1" ht="13.2" customHeight="1" x14ac:dyDescent="0.3">
      <c r="A74" s="70" t="s">
        <v>23</v>
      </c>
      <c r="B74" s="71" t="s">
        <v>24</v>
      </c>
      <c r="C74" s="58">
        <v>0.21666666666666667</v>
      </c>
      <c r="D74" s="58"/>
      <c r="E74" s="58"/>
      <c r="F74" s="58"/>
      <c r="G74" s="59">
        <v>60</v>
      </c>
      <c r="H74" s="60">
        <v>0.2</v>
      </c>
      <c r="I74" s="58">
        <f t="shared" si="28"/>
        <v>13</v>
      </c>
      <c r="J74" s="58">
        <f t="shared" si="29"/>
        <v>780</v>
      </c>
      <c r="K74" s="58">
        <f t="shared" si="30"/>
        <v>10.4</v>
      </c>
      <c r="L74" s="61">
        <f t="shared" si="31"/>
        <v>624</v>
      </c>
      <c r="M74" s="62"/>
      <c r="N74" s="62"/>
    </row>
    <row r="75" spans="1:14" s="64" customFormat="1" ht="13.2" customHeight="1" x14ac:dyDescent="0.3">
      <c r="A75" s="70" t="s">
        <v>25</v>
      </c>
      <c r="B75" s="71" t="s">
        <v>26</v>
      </c>
      <c r="C75" s="58"/>
      <c r="D75" s="58">
        <v>1.4170481009999998E-2</v>
      </c>
      <c r="E75" s="58"/>
      <c r="F75" s="58"/>
      <c r="G75" s="59">
        <v>40</v>
      </c>
      <c r="H75" s="60">
        <v>0.2</v>
      </c>
      <c r="I75" s="58">
        <f t="shared" si="28"/>
        <v>0.70852405049999989</v>
      </c>
      <c r="J75" s="58">
        <f t="shared" si="29"/>
        <v>28.340962019999996</v>
      </c>
      <c r="K75" s="58">
        <f t="shared" si="30"/>
        <v>0.56681924039999998</v>
      </c>
      <c r="L75" s="61">
        <f t="shared" si="31"/>
        <v>22.672769616</v>
      </c>
      <c r="M75" s="62"/>
      <c r="N75" s="62"/>
    </row>
    <row r="76" spans="1:14" x14ac:dyDescent="0.3">
      <c r="A76" s="79" t="s">
        <v>88</v>
      </c>
      <c r="B76" s="80" t="s">
        <v>89</v>
      </c>
      <c r="C76" s="58">
        <v>2.6768999999999998</v>
      </c>
      <c r="D76" s="58"/>
      <c r="E76" s="58"/>
      <c r="F76" s="58"/>
      <c r="G76" s="59">
        <v>6</v>
      </c>
      <c r="H76" s="60">
        <v>0.35</v>
      </c>
      <c r="I76" s="58">
        <f t="shared" si="28"/>
        <v>160.614</v>
      </c>
      <c r="J76" s="58">
        <f t="shared" si="29"/>
        <v>963.68399999999997</v>
      </c>
      <c r="K76" s="58">
        <f t="shared" si="30"/>
        <v>104.3991</v>
      </c>
      <c r="L76" s="61">
        <f t="shared" si="31"/>
        <v>626.39460000000008</v>
      </c>
      <c r="M76" s="62"/>
      <c r="N76" s="62"/>
    </row>
    <row r="77" spans="1:14" x14ac:dyDescent="0.3">
      <c r="A77" s="81" t="s">
        <v>90</v>
      </c>
      <c r="B77" s="80" t="s">
        <v>91</v>
      </c>
      <c r="C77" s="58">
        <v>0.06</v>
      </c>
      <c r="D77" s="58"/>
      <c r="E77" s="58"/>
      <c r="F77" s="58"/>
      <c r="G77" s="59">
        <v>12</v>
      </c>
      <c r="H77" s="60">
        <v>0.35</v>
      </c>
      <c r="I77" s="58">
        <f t="shared" si="28"/>
        <v>3.5999999999999996</v>
      </c>
      <c r="J77" s="58">
        <f t="shared" si="29"/>
        <v>43.199999999999996</v>
      </c>
      <c r="K77" s="58">
        <f t="shared" si="30"/>
        <v>2.34</v>
      </c>
      <c r="L77" s="61">
        <f t="shared" si="31"/>
        <v>28.08</v>
      </c>
      <c r="M77" s="62"/>
      <c r="N77" s="62"/>
    </row>
    <row r="78" spans="1:14" x14ac:dyDescent="0.3">
      <c r="A78" s="79" t="s">
        <v>92</v>
      </c>
      <c r="B78" s="80" t="s">
        <v>93</v>
      </c>
      <c r="C78" s="58">
        <v>0.51646000000000003</v>
      </c>
      <c r="D78" s="58"/>
      <c r="E78" s="58"/>
      <c r="F78" s="58"/>
      <c r="G78" s="59">
        <v>2</v>
      </c>
      <c r="H78" s="60">
        <v>0.35</v>
      </c>
      <c r="I78" s="58">
        <f t="shared" si="28"/>
        <v>30.9876</v>
      </c>
      <c r="J78" s="58">
        <f t="shared" si="29"/>
        <v>61.975200000000001</v>
      </c>
      <c r="K78" s="58">
        <f t="shared" si="30"/>
        <v>20.141940000000002</v>
      </c>
      <c r="L78" s="61">
        <f t="shared" si="31"/>
        <v>40.283880000000003</v>
      </c>
      <c r="M78" s="62"/>
      <c r="N78" s="62"/>
    </row>
    <row r="79" spans="1:14" x14ac:dyDescent="0.3">
      <c r="A79" s="79" t="s">
        <v>94</v>
      </c>
      <c r="B79" s="80" t="s">
        <v>95</v>
      </c>
      <c r="C79" s="58">
        <v>1.8270999999999999</v>
      </c>
      <c r="D79" s="58"/>
      <c r="E79" s="58"/>
      <c r="F79" s="58"/>
      <c r="G79" s="59">
        <v>2</v>
      </c>
      <c r="H79" s="60">
        <v>0.35</v>
      </c>
      <c r="I79" s="58">
        <f t="shared" si="28"/>
        <v>109.626</v>
      </c>
      <c r="J79" s="58">
        <f t="shared" si="29"/>
        <v>219.25200000000001</v>
      </c>
      <c r="K79" s="58">
        <f t="shared" si="30"/>
        <v>71.256900000000002</v>
      </c>
      <c r="L79" s="61">
        <f t="shared" si="31"/>
        <v>142.5138</v>
      </c>
      <c r="M79" s="62"/>
      <c r="N79" s="62"/>
    </row>
    <row r="80" spans="1:14" x14ac:dyDescent="0.3">
      <c r="A80" s="79" t="s">
        <v>96</v>
      </c>
      <c r="B80" s="80" t="s">
        <v>97</v>
      </c>
      <c r="C80" s="58">
        <v>0.05</v>
      </c>
      <c r="D80" s="58"/>
      <c r="E80" s="58"/>
      <c r="F80" s="58"/>
      <c r="G80" s="59">
        <v>4</v>
      </c>
      <c r="H80" s="60">
        <v>0.35</v>
      </c>
      <c r="I80" s="58">
        <f t="shared" si="28"/>
        <v>3</v>
      </c>
      <c r="J80" s="58">
        <f t="shared" si="29"/>
        <v>12</v>
      </c>
      <c r="K80" s="58">
        <f t="shared" si="30"/>
        <v>1.9500000000000002</v>
      </c>
      <c r="L80" s="61">
        <f t="shared" si="31"/>
        <v>7.8000000000000007</v>
      </c>
      <c r="M80" s="62"/>
      <c r="N80" s="62"/>
    </row>
    <row r="81" spans="1:14" x14ac:dyDescent="0.3">
      <c r="A81" s="79" t="s">
        <v>98</v>
      </c>
      <c r="B81" s="80" t="s">
        <v>99</v>
      </c>
      <c r="C81" s="58">
        <v>0.34410000000000002</v>
      </c>
      <c r="D81" s="58"/>
      <c r="E81" s="58"/>
      <c r="F81" s="58"/>
      <c r="G81" s="59">
        <v>2</v>
      </c>
      <c r="H81" s="60">
        <v>0.35</v>
      </c>
      <c r="I81" s="58">
        <f t="shared" si="28"/>
        <v>20.646000000000001</v>
      </c>
      <c r="J81" s="58">
        <f t="shared" si="29"/>
        <v>41.292000000000002</v>
      </c>
      <c r="K81" s="58">
        <f t="shared" si="30"/>
        <v>13.4199</v>
      </c>
      <c r="L81" s="61">
        <f t="shared" si="31"/>
        <v>26.8398</v>
      </c>
      <c r="M81" s="62"/>
      <c r="N81" s="62"/>
    </row>
    <row r="82" spans="1:14" x14ac:dyDescent="0.3">
      <c r="A82" s="79" t="s">
        <v>82</v>
      </c>
      <c r="B82" s="80" t="s">
        <v>83</v>
      </c>
      <c r="C82" s="58">
        <v>0.48399999999999999</v>
      </c>
      <c r="D82" s="58"/>
      <c r="E82" s="58"/>
      <c r="F82" s="58"/>
      <c r="G82" s="59">
        <v>2</v>
      </c>
      <c r="H82" s="60">
        <v>0.35</v>
      </c>
      <c r="I82" s="58">
        <f t="shared" si="28"/>
        <v>29.04</v>
      </c>
      <c r="J82" s="58">
        <f t="shared" si="29"/>
        <v>58.08</v>
      </c>
      <c r="K82" s="58">
        <f t="shared" si="30"/>
        <v>18.876000000000001</v>
      </c>
      <c r="L82" s="61">
        <f t="shared" si="31"/>
        <v>37.752000000000002</v>
      </c>
      <c r="M82" s="62"/>
      <c r="N82" s="62"/>
    </row>
    <row r="83" spans="1:14" x14ac:dyDescent="0.3">
      <c r="A83" s="79" t="s">
        <v>84</v>
      </c>
      <c r="B83" s="80" t="s">
        <v>85</v>
      </c>
      <c r="C83" s="58">
        <v>0.23380000000000001</v>
      </c>
      <c r="D83" s="58"/>
      <c r="E83" s="58"/>
      <c r="F83" s="58"/>
      <c r="G83" s="59">
        <v>2</v>
      </c>
      <c r="H83" s="60">
        <v>0.35</v>
      </c>
      <c r="I83" s="58">
        <f t="shared" si="28"/>
        <v>14.028</v>
      </c>
      <c r="J83" s="58">
        <f t="shared" si="29"/>
        <v>28.056000000000001</v>
      </c>
      <c r="K83" s="58">
        <f t="shared" si="30"/>
        <v>9.1181999999999999</v>
      </c>
      <c r="L83" s="61">
        <f t="shared" si="31"/>
        <v>18.2364</v>
      </c>
      <c r="M83" s="62"/>
      <c r="N83" s="62"/>
    </row>
    <row r="84" spans="1:14" x14ac:dyDescent="0.3">
      <c r="A84" s="79" t="s">
        <v>86</v>
      </c>
      <c r="B84" s="80" t="s">
        <v>87</v>
      </c>
      <c r="C84" s="58">
        <v>1</v>
      </c>
      <c r="D84" s="58"/>
      <c r="E84" s="58"/>
      <c r="F84" s="58"/>
      <c r="G84" s="59">
        <v>6</v>
      </c>
      <c r="H84" s="60">
        <v>0.35</v>
      </c>
      <c r="I84" s="58">
        <f t="shared" si="28"/>
        <v>60</v>
      </c>
      <c r="J84" s="58">
        <f t="shared" si="29"/>
        <v>360</v>
      </c>
      <c r="K84" s="58">
        <f t="shared" si="30"/>
        <v>39</v>
      </c>
      <c r="L84" s="61">
        <f t="shared" si="31"/>
        <v>234</v>
      </c>
      <c r="M84" s="62"/>
      <c r="N84" s="62"/>
    </row>
    <row r="85" spans="1:14" s="64" customFormat="1" x14ac:dyDescent="0.3">
      <c r="A85" s="79" t="s">
        <v>100</v>
      </c>
      <c r="B85" s="80" t="s">
        <v>101</v>
      </c>
      <c r="C85" s="58">
        <v>1.3571</v>
      </c>
      <c r="D85" s="58"/>
      <c r="E85" s="58"/>
      <c r="F85" s="58"/>
      <c r="G85" s="59">
        <v>2</v>
      </c>
      <c r="H85" s="60">
        <v>0.35</v>
      </c>
      <c r="I85" s="58">
        <f t="shared" si="28"/>
        <v>81.426000000000002</v>
      </c>
      <c r="J85" s="58">
        <f t="shared" si="29"/>
        <v>162.852</v>
      </c>
      <c r="K85" s="58">
        <f t="shared" si="30"/>
        <v>52.926900000000003</v>
      </c>
      <c r="L85" s="61">
        <f t="shared" si="31"/>
        <v>105.85380000000001</v>
      </c>
      <c r="M85" s="62"/>
      <c r="N85" s="62"/>
    </row>
    <row r="86" spans="1:14" s="7" customFormat="1" ht="12.9" customHeight="1" x14ac:dyDescent="0.3">
      <c r="A86" s="54"/>
      <c r="B86" s="74" t="s">
        <v>113</v>
      </c>
      <c r="C86" s="6"/>
      <c r="D86" s="6"/>
      <c r="E86" s="6"/>
      <c r="F86" s="6"/>
      <c r="G86" s="29"/>
      <c r="H86" s="26">
        <v>0.3</v>
      </c>
      <c r="I86" s="6">
        <f t="shared" si="28"/>
        <v>0</v>
      </c>
      <c r="J86" s="6">
        <f t="shared" si="29"/>
        <v>0</v>
      </c>
      <c r="K86" s="6">
        <f t="shared" si="30"/>
        <v>0</v>
      </c>
      <c r="L86" s="10">
        <f t="shared" si="31"/>
        <v>0</v>
      </c>
      <c r="M86" s="11"/>
      <c r="N86" s="11"/>
    </row>
    <row r="87" spans="1:14" x14ac:dyDescent="0.3">
      <c r="A87" s="65" t="s">
        <v>116</v>
      </c>
      <c r="B87" s="78" t="s">
        <v>117</v>
      </c>
      <c r="C87" s="58">
        <v>10.210000000000001</v>
      </c>
      <c r="D87" s="58"/>
      <c r="E87" s="58"/>
      <c r="F87" s="58"/>
      <c r="G87" s="59">
        <v>10</v>
      </c>
      <c r="H87" s="60">
        <v>0.35</v>
      </c>
      <c r="I87" s="58">
        <f>(C87*$D$1*1.2+D87*$D$1+E87*$E$1+F87)</f>
        <v>612.6</v>
      </c>
      <c r="J87" s="58">
        <f>I87*G87</f>
        <v>6126</v>
      </c>
      <c r="K87" s="58">
        <f>I87*(1-H87/1)</f>
        <v>398.19000000000005</v>
      </c>
      <c r="L87" s="61">
        <f>K87*G87</f>
        <v>3981.9000000000005</v>
      </c>
      <c r="M87" s="62"/>
      <c r="N87" s="62"/>
    </row>
    <row r="88" spans="1:14" s="7" customFormat="1" ht="12.9" customHeight="1" x14ac:dyDescent="0.25">
      <c r="A88" s="52" t="s">
        <v>52</v>
      </c>
      <c r="B88" s="53" t="s">
        <v>53</v>
      </c>
      <c r="C88" s="6">
        <v>1.93</v>
      </c>
      <c r="D88" s="6"/>
      <c r="E88" s="6"/>
      <c r="F88" s="24"/>
      <c r="G88" s="29">
        <v>10</v>
      </c>
      <c r="H88" s="26">
        <v>0.3</v>
      </c>
      <c r="I88" s="6">
        <f t="shared" ref="I88" si="32">(C88*$D$1*1.2+D88*$D$1+E88*$E$1+F88)</f>
        <v>115.8</v>
      </c>
      <c r="J88" s="6">
        <f t="shared" ref="J88" si="33">I88*G88</f>
        <v>1158</v>
      </c>
      <c r="K88" s="6">
        <f t="shared" ref="K88" si="34">I88*(1-H88/1)</f>
        <v>81.059999999999988</v>
      </c>
      <c r="L88" s="10">
        <f t="shared" ref="L88" si="35">K88*G88</f>
        <v>810.59999999999991</v>
      </c>
      <c r="M88" s="11"/>
      <c r="N88" s="11"/>
    </row>
    <row r="89" spans="1:14" s="7" customFormat="1" ht="12.9" customHeight="1" x14ac:dyDescent="0.25">
      <c r="A89" s="52" t="s">
        <v>41</v>
      </c>
      <c r="B89" s="53" t="s">
        <v>42</v>
      </c>
      <c r="C89" s="6" t="s">
        <v>43</v>
      </c>
      <c r="D89" s="6"/>
      <c r="E89" s="6"/>
      <c r="F89" s="6"/>
      <c r="G89" s="29">
        <v>2</v>
      </c>
      <c r="H89" s="26">
        <v>0.3</v>
      </c>
      <c r="I89" s="6">
        <f t="shared" ref="I89:I90" si="36">(C89*$D$1*1.2+D89*$D$1+E89*$E$1+F89)</f>
        <v>499.79999999999995</v>
      </c>
      <c r="J89" s="6">
        <f t="shared" ref="J89:J90" si="37">I89*G89</f>
        <v>999.59999999999991</v>
      </c>
      <c r="K89" s="6">
        <f t="shared" ref="K89:K90" si="38">I89*(1-H89/1)</f>
        <v>349.85999999999996</v>
      </c>
      <c r="L89" s="10">
        <f t="shared" ref="L89:L90" si="39">K89*G89</f>
        <v>699.71999999999991</v>
      </c>
      <c r="M89" s="11"/>
      <c r="N89" s="11"/>
    </row>
    <row r="90" spans="1:14" s="7" customFormat="1" ht="12.9" customHeight="1" x14ac:dyDescent="0.25">
      <c r="A90" s="52" t="s">
        <v>44</v>
      </c>
      <c r="B90" s="53" t="s">
        <v>45</v>
      </c>
      <c r="C90" s="6" t="s">
        <v>46</v>
      </c>
      <c r="D90" s="6"/>
      <c r="E90" s="6"/>
      <c r="F90" s="24"/>
      <c r="G90" s="29">
        <v>2</v>
      </c>
      <c r="H90" s="26">
        <v>0.3</v>
      </c>
      <c r="I90" s="6">
        <f t="shared" si="36"/>
        <v>594</v>
      </c>
      <c r="J90" s="6">
        <f t="shared" si="37"/>
        <v>1188</v>
      </c>
      <c r="K90" s="6">
        <f t="shared" si="38"/>
        <v>415.79999999999995</v>
      </c>
      <c r="L90" s="10">
        <f t="shared" si="39"/>
        <v>831.59999999999991</v>
      </c>
      <c r="M90" s="11"/>
      <c r="N90" s="11"/>
    </row>
    <row r="91" spans="1:14" s="7" customFormat="1" ht="12.9" customHeight="1" x14ac:dyDescent="0.25">
      <c r="A91" s="72" t="s">
        <v>146</v>
      </c>
      <c r="B91" s="72" t="s">
        <v>147</v>
      </c>
      <c r="C91" s="6">
        <v>60</v>
      </c>
      <c r="D91" s="6"/>
      <c r="E91" s="6"/>
      <c r="F91" s="6"/>
      <c r="G91" s="29">
        <v>3</v>
      </c>
      <c r="H91" s="30">
        <v>0</v>
      </c>
      <c r="I91" s="6">
        <f>(C91*$D$1*1.2+D91*$D$1+E91*$E$1+F91)</f>
        <v>3600</v>
      </c>
      <c r="J91" s="6">
        <f>I91*G91</f>
        <v>10800</v>
      </c>
      <c r="K91" s="6">
        <f>I91*(1-H91/1)</f>
        <v>3600</v>
      </c>
      <c r="L91" s="10">
        <f>K91*G91</f>
        <v>10800</v>
      </c>
      <c r="M91" s="11"/>
      <c r="N91" s="11"/>
    </row>
    <row r="92" spans="1:14" s="36" customFormat="1" ht="13.2" x14ac:dyDescent="0.25">
      <c r="A92" s="34" t="s">
        <v>148</v>
      </c>
      <c r="B92" s="56" t="s">
        <v>149</v>
      </c>
      <c r="C92" s="35">
        <v>480.97</v>
      </c>
      <c r="D92" s="37"/>
      <c r="E92" s="37"/>
      <c r="F92" s="37"/>
      <c r="G92" s="38">
        <v>1</v>
      </c>
      <c r="H92" s="30">
        <v>0</v>
      </c>
      <c r="I92" s="28">
        <f t="shared" ref="I92:I95" si="40">(C92*$D$1*1.2+D92*$D$1+E92*$E$1+F92)</f>
        <v>28858.2</v>
      </c>
      <c r="J92" s="28">
        <f t="shared" ref="J92:J95" si="41">I92*G92</f>
        <v>28858.2</v>
      </c>
      <c r="K92" s="28">
        <f t="shared" ref="K92:K95" si="42">I92*(1-H92/1)</f>
        <v>28858.2</v>
      </c>
      <c r="L92" s="31">
        <f t="shared" ref="L92:L95" si="43">K92*G92</f>
        <v>28858.2</v>
      </c>
      <c r="M92" s="35"/>
      <c r="N92" s="35"/>
    </row>
    <row r="93" spans="1:14" s="36" customFormat="1" ht="13.2" x14ac:dyDescent="0.25">
      <c r="A93" s="34" t="s">
        <v>150</v>
      </c>
      <c r="B93" s="56" t="s">
        <v>151</v>
      </c>
      <c r="C93" s="35">
        <v>121.18</v>
      </c>
      <c r="D93" s="37"/>
      <c r="E93" s="37"/>
      <c r="F93" s="37"/>
      <c r="G93" s="38">
        <v>1</v>
      </c>
      <c r="H93" s="30">
        <v>0</v>
      </c>
      <c r="I93" s="28">
        <f t="shared" si="40"/>
        <v>7270.8</v>
      </c>
      <c r="J93" s="28">
        <f t="shared" si="41"/>
        <v>7270.8</v>
      </c>
      <c r="K93" s="28">
        <f t="shared" si="42"/>
        <v>7270.8</v>
      </c>
      <c r="L93" s="31">
        <f t="shared" si="43"/>
        <v>7270.8</v>
      </c>
      <c r="M93" s="35"/>
      <c r="N93" s="35"/>
    </row>
    <row r="94" spans="1:14" s="36" customFormat="1" ht="13.2" x14ac:dyDescent="0.25">
      <c r="A94" s="34" t="s">
        <v>152</v>
      </c>
      <c r="B94" s="56" t="s">
        <v>153</v>
      </c>
      <c r="C94" s="35">
        <v>169.83</v>
      </c>
      <c r="D94" s="37"/>
      <c r="E94" s="37"/>
      <c r="F94" s="37"/>
      <c r="G94" s="38">
        <v>1</v>
      </c>
      <c r="H94" s="30">
        <v>0</v>
      </c>
      <c r="I94" s="28">
        <f t="shared" si="40"/>
        <v>10189.799999999999</v>
      </c>
      <c r="J94" s="28">
        <f t="shared" si="41"/>
        <v>10189.799999999999</v>
      </c>
      <c r="K94" s="28">
        <f t="shared" si="42"/>
        <v>10189.799999999999</v>
      </c>
      <c r="L94" s="31">
        <f t="shared" si="43"/>
        <v>10189.799999999999</v>
      </c>
      <c r="M94" s="35"/>
      <c r="N94" s="35"/>
    </row>
    <row r="95" spans="1:14" s="33" customFormat="1" ht="13.2" x14ac:dyDescent="0.25">
      <c r="A95" s="34" t="s">
        <v>154</v>
      </c>
      <c r="B95" s="47" t="s">
        <v>155</v>
      </c>
      <c r="C95" s="48">
        <v>174.7</v>
      </c>
      <c r="D95" s="47"/>
      <c r="E95" s="47"/>
      <c r="F95" s="47"/>
      <c r="G95" s="38">
        <v>1</v>
      </c>
      <c r="H95" s="30">
        <v>0</v>
      </c>
      <c r="I95" s="28">
        <f t="shared" si="40"/>
        <v>10482</v>
      </c>
      <c r="J95" s="28">
        <f t="shared" si="41"/>
        <v>10482</v>
      </c>
      <c r="K95" s="28">
        <f t="shared" si="42"/>
        <v>10482</v>
      </c>
      <c r="L95" s="31">
        <f t="shared" si="43"/>
        <v>10482</v>
      </c>
      <c r="M95" s="32"/>
      <c r="N95" s="32"/>
    </row>
    <row r="96" spans="1:14" s="33" customFormat="1" x14ac:dyDescent="0.3">
      <c r="A96" s="34" t="s">
        <v>156</v>
      </c>
      <c r="B96" s="1" t="s">
        <v>157</v>
      </c>
      <c r="C96" s="1">
        <v>454.41</v>
      </c>
      <c r="D96" s="47"/>
      <c r="E96" s="47"/>
      <c r="F96" s="47"/>
      <c r="G96" s="38">
        <v>1</v>
      </c>
      <c r="H96" s="30">
        <v>0</v>
      </c>
      <c r="I96" s="28">
        <f t="shared" ref="I96" si="44">(C96*$D$1*1.2+D96*$D$1+E96*$E$1+F96)</f>
        <v>27264.6</v>
      </c>
      <c r="J96" s="28">
        <f t="shared" ref="J96" si="45">I96*G96</f>
        <v>27264.6</v>
      </c>
      <c r="K96" s="28">
        <f t="shared" ref="K96" si="46">I96*(1-H96/1)</f>
        <v>27264.6</v>
      </c>
      <c r="L96" s="31">
        <f t="shared" ref="L96" si="47">K96*G96</f>
        <v>27264.6</v>
      </c>
      <c r="M96" s="32"/>
      <c r="N96" s="32"/>
    </row>
    <row r="97" spans="1:15" s="7" customFormat="1" ht="12.9" customHeight="1" x14ac:dyDescent="0.25">
      <c r="A97" s="52"/>
      <c r="B97" s="53" t="s">
        <v>51</v>
      </c>
      <c r="C97" s="6">
        <v>10</v>
      </c>
      <c r="D97" s="6"/>
      <c r="E97" s="6"/>
      <c r="F97" s="24"/>
      <c r="G97" s="29">
        <v>1</v>
      </c>
      <c r="H97" s="26">
        <v>0.3</v>
      </c>
      <c r="I97" s="6">
        <f t="shared" ref="I97:I98" si="48">(C97*$D$1*1.2+D97*$D$1+E97*$E$1+F97)</f>
        <v>600</v>
      </c>
      <c r="J97" s="6">
        <f t="shared" ref="J97:J98" si="49">I97*G97</f>
        <v>600</v>
      </c>
      <c r="K97" s="6">
        <f t="shared" ref="K97:K98" si="50">I97*(1-H97/1)</f>
        <v>420</v>
      </c>
      <c r="L97" s="10">
        <f t="shared" ref="L97:L98" si="51">K97*G97</f>
        <v>420</v>
      </c>
      <c r="M97" s="11"/>
      <c r="N97" s="11"/>
    </row>
    <row r="98" spans="1:15" s="36" customFormat="1" ht="13.2" x14ac:dyDescent="0.25">
      <c r="A98" s="34"/>
      <c r="B98" s="56" t="s">
        <v>47</v>
      </c>
      <c r="C98" s="35">
        <v>13</v>
      </c>
      <c r="D98" s="37"/>
      <c r="E98" s="37"/>
      <c r="F98" s="37"/>
      <c r="G98" s="38">
        <v>1</v>
      </c>
      <c r="H98" s="30">
        <v>0.3</v>
      </c>
      <c r="I98" s="28">
        <f t="shared" si="48"/>
        <v>780</v>
      </c>
      <c r="J98" s="28">
        <f t="shared" si="49"/>
        <v>780</v>
      </c>
      <c r="K98" s="28">
        <f t="shared" si="50"/>
        <v>546</v>
      </c>
      <c r="L98" s="31">
        <f t="shared" si="51"/>
        <v>546</v>
      </c>
      <c r="M98" s="35"/>
      <c r="N98" s="35"/>
    </row>
    <row r="99" spans="1:15" s="7" customFormat="1" ht="13.2" x14ac:dyDescent="0.25">
      <c r="A99" s="12"/>
      <c r="B99" s="12" t="s">
        <v>145</v>
      </c>
      <c r="C99" s="12"/>
      <c r="D99" s="12"/>
      <c r="E99" s="12"/>
      <c r="F99" s="12"/>
      <c r="G99" s="8">
        <v>1</v>
      </c>
      <c r="H99" s="12"/>
      <c r="I99" s="88">
        <f>SUM(J100:J114)</f>
        <v>52769.8</v>
      </c>
      <c r="J99" s="89"/>
      <c r="K99" s="88">
        <f>SUM(L100:L114)</f>
        <v>49950.16</v>
      </c>
      <c r="L99" s="89"/>
      <c r="M99" s="13">
        <f>K99+SUM(F136:F138)</f>
        <v>49950.16</v>
      </c>
      <c r="N99" s="14">
        <f>ROUNDUP(K99*(1+$B$1),-1)*G99</f>
        <v>64940</v>
      </c>
      <c r="O99" s="7">
        <f>(N99)/1.2</f>
        <v>54116.666666666672</v>
      </c>
    </row>
    <row r="100" spans="1:15" s="7" customFormat="1" ht="12.9" customHeight="1" x14ac:dyDescent="0.3">
      <c r="A100" s="54"/>
      <c r="B100" s="74" t="s">
        <v>113</v>
      </c>
      <c r="C100" s="6"/>
      <c r="D100" s="6"/>
      <c r="E100" s="6"/>
      <c r="F100" s="6"/>
      <c r="G100" s="29"/>
      <c r="H100" s="26">
        <v>0.3</v>
      </c>
      <c r="I100" s="6">
        <f t="shared" ref="I100:I114" si="52">(C100*$D$1*1.2+D100*$D$1+E100*$E$1+F100)</f>
        <v>0</v>
      </c>
      <c r="J100" s="6">
        <f t="shared" ref="J100:J114" si="53">I100*G100</f>
        <v>0</v>
      </c>
      <c r="K100" s="6">
        <f t="shared" ref="K100:K114" si="54">I100*(1-H100/1)</f>
        <v>0</v>
      </c>
      <c r="L100" s="10">
        <f t="shared" ref="L100:L114" si="55">K100*G100</f>
        <v>0</v>
      </c>
      <c r="M100" s="11"/>
      <c r="N100" s="11"/>
    </row>
    <row r="101" spans="1:15" x14ac:dyDescent="0.3">
      <c r="A101" s="65" t="s">
        <v>116</v>
      </c>
      <c r="B101" s="78" t="s">
        <v>117</v>
      </c>
      <c r="C101" s="58">
        <v>10.210000000000001</v>
      </c>
      <c r="D101" s="58"/>
      <c r="E101" s="58"/>
      <c r="F101" s="58"/>
      <c r="G101" s="59">
        <v>10</v>
      </c>
      <c r="H101" s="60">
        <v>0.35</v>
      </c>
      <c r="I101" s="58">
        <f>(C101*$D$1*1.2+D101*$D$1+E101*$E$1+F101)</f>
        <v>612.6</v>
      </c>
      <c r="J101" s="58">
        <f>I101*G101</f>
        <v>6126</v>
      </c>
      <c r="K101" s="58">
        <f>I101*(1-H101/1)</f>
        <v>398.19000000000005</v>
      </c>
      <c r="L101" s="61">
        <f>K101*G101</f>
        <v>3981.9000000000005</v>
      </c>
      <c r="M101" s="62"/>
      <c r="N101" s="62"/>
    </row>
    <row r="102" spans="1:15" s="7" customFormat="1" ht="12.9" customHeight="1" x14ac:dyDescent="0.25">
      <c r="A102" s="52" t="s">
        <v>52</v>
      </c>
      <c r="B102" s="53" t="s">
        <v>53</v>
      </c>
      <c r="C102" s="6">
        <v>1.93</v>
      </c>
      <c r="D102" s="6"/>
      <c r="E102" s="6"/>
      <c r="F102" s="24"/>
      <c r="G102" s="29">
        <v>10</v>
      </c>
      <c r="H102" s="26">
        <v>0.3</v>
      </c>
      <c r="I102" s="6">
        <f t="shared" si="52"/>
        <v>115.8</v>
      </c>
      <c r="J102" s="6">
        <f t="shared" si="53"/>
        <v>1158</v>
      </c>
      <c r="K102" s="6">
        <f t="shared" si="54"/>
        <v>81.059999999999988</v>
      </c>
      <c r="L102" s="10">
        <f t="shared" si="55"/>
        <v>810.59999999999991</v>
      </c>
      <c r="M102" s="11"/>
      <c r="N102" s="11"/>
    </row>
    <row r="103" spans="1:15" s="7" customFormat="1" ht="12.9" customHeight="1" x14ac:dyDescent="0.25">
      <c r="A103" s="52" t="s">
        <v>41</v>
      </c>
      <c r="B103" s="53" t="s">
        <v>42</v>
      </c>
      <c r="C103" s="6" t="s">
        <v>43</v>
      </c>
      <c r="D103" s="6"/>
      <c r="E103" s="6"/>
      <c r="F103" s="6"/>
      <c r="G103" s="29">
        <v>1</v>
      </c>
      <c r="H103" s="26">
        <v>0.3</v>
      </c>
      <c r="I103" s="6">
        <f t="shared" si="52"/>
        <v>499.79999999999995</v>
      </c>
      <c r="J103" s="6">
        <f t="shared" si="53"/>
        <v>499.79999999999995</v>
      </c>
      <c r="K103" s="6">
        <f t="shared" si="54"/>
        <v>349.85999999999996</v>
      </c>
      <c r="L103" s="10">
        <f t="shared" si="55"/>
        <v>349.85999999999996</v>
      </c>
      <c r="M103" s="11"/>
      <c r="N103" s="11"/>
    </row>
    <row r="104" spans="1:15" s="7" customFormat="1" ht="12.9" customHeight="1" x14ac:dyDescent="0.25">
      <c r="A104" s="52" t="s">
        <v>44</v>
      </c>
      <c r="B104" s="53" t="s">
        <v>45</v>
      </c>
      <c r="C104" s="6" t="s">
        <v>46</v>
      </c>
      <c r="D104" s="6"/>
      <c r="E104" s="6"/>
      <c r="F104" s="24"/>
      <c r="G104" s="29">
        <v>1</v>
      </c>
      <c r="H104" s="26">
        <v>0.3</v>
      </c>
      <c r="I104" s="6">
        <f t="shared" si="52"/>
        <v>594</v>
      </c>
      <c r="J104" s="6">
        <f t="shared" si="53"/>
        <v>594</v>
      </c>
      <c r="K104" s="6">
        <f t="shared" si="54"/>
        <v>415.79999999999995</v>
      </c>
      <c r="L104" s="10">
        <f t="shared" si="55"/>
        <v>415.79999999999995</v>
      </c>
      <c r="M104" s="11"/>
      <c r="N104" s="11"/>
    </row>
    <row r="105" spans="1:15" s="7" customFormat="1" ht="12.9" customHeight="1" x14ac:dyDescent="0.25">
      <c r="A105" s="72" t="s">
        <v>34</v>
      </c>
      <c r="B105" s="72" t="s">
        <v>35</v>
      </c>
      <c r="C105" s="6"/>
      <c r="D105" s="6"/>
      <c r="E105" s="6"/>
      <c r="F105" s="6">
        <f>2017*1.2</f>
        <v>2420.4</v>
      </c>
      <c r="G105" s="29">
        <v>5</v>
      </c>
      <c r="H105" s="30">
        <v>0</v>
      </c>
      <c r="I105" s="6">
        <f>(C105*$D$1*1.2+D105*$D$1+E105*$E$1+F105)</f>
        <v>2420.4</v>
      </c>
      <c r="J105" s="6">
        <f>I105*G105</f>
        <v>12102</v>
      </c>
      <c r="K105" s="6">
        <f>I105*(1-H105/1)</f>
        <v>2420.4</v>
      </c>
      <c r="L105" s="10">
        <f>K105*G105</f>
        <v>12102</v>
      </c>
      <c r="M105" s="11"/>
      <c r="N105" s="11"/>
    </row>
    <row r="106" spans="1:15" s="7" customFormat="1" ht="12.9" customHeight="1" x14ac:dyDescent="0.25">
      <c r="A106" s="72" t="s">
        <v>36</v>
      </c>
      <c r="B106" s="72" t="s">
        <v>36</v>
      </c>
      <c r="C106" s="6">
        <v>29</v>
      </c>
      <c r="D106" s="6"/>
      <c r="E106" s="6"/>
      <c r="F106" s="24"/>
      <c r="G106" s="29">
        <v>2</v>
      </c>
      <c r="H106" s="30">
        <v>0</v>
      </c>
      <c r="I106" s="6">
        <f>(C106*$D$1*1.2+D106*$D$1+E106*$E$1+F106)</f>
        <v>1740</v>
      </c>
      <c r="J106" s="6">
        <f>I106*G106</f>
        <v>3480</v>
      </c>
      <c r="K106" s="6">
        <f>I106*(1-H106/1)</f>
        <v>1740</v>
      </c>
      <c r="L106" s="10">
        <f>K106*G106</f>
        <v>3480</v>
      </c>
      <c r="M106" s="11"/>
      <c r="N106" s="11"/>
    </row>
    <row r="107" spans="1:15" s="36" customFormat="1" ht="13.2" x14ac:dyDescent="0.25">
      <c r="A107" s="34"/>
      <c r="B107" s="56" t="s">
        <v>47</v>
      </c>
      <c r="C107" s="35">
        <v>13</v>
      </c>
      <c r="D107" s="37"/>
      <c r="E107" s="37"/>
      <c r="F107" s="37"/>
      <c r="G107" s="38">
        <v>1</v>
      </c>
      <c r="H107" s="30">
        <v>0</v>
      </c>
      <c r="I107" s="28">
        <f t="shared" si="52"/>
        <v>780</v>
      </c>
      <c r="J107" s="28">
        <f t="shared" si="53"/>
        <v>780</v>
      </c>
      <c r="K107" s="28">
        <f t="shared" si="54"/>
        <v>780</v>
      </c>
      <c r="L107" s="31">
        <f t="shared" si="55"/>
        <v>780</v>
      </c>
      <c r="M107" s="35"/>
      <c r="N107" s="35"/>
    </row>
    <row r="108" spans="1:15" s="36" customFormat="1" ht="13.2" x14ac:dyDescent="0.25">
      <c r="A108" s="34" t="s">
        <v>54</v>
      </c>
      <c r="B108" s="56" t="s">
        <v>55</v>
      </c>
      <c r="C108" s="35">
        <v>5.24</v>
      </c>
      <c r="D108" s="37"/>
      <c r="E108" s="37"/>
      <c r="F108" s="37"/>
      <c r="G108" s="38">
        <v>10</v>
      </c>
      <c r="H108" s="30">
        <v>0</v>
      </c>
      <c r="I108" s="28">
        <f t="shared" si="52"/>
        <v>314.39999999999998</v>
      </c>
      <c r="J108" s="28">
        <f t="shared" si="53"/>
        <v>3144</v>
      </c>
      <c r="K108" s="28">
        <f t="shared" si="54"/>
        <v>314.39999999999998</v>
      </c>
      <c r="L108" s="31">
        <f t="shared" si="55"/>
        <v>3144</v>
      </c>
      <c r="M108" s="35"/>
      <c r="N108" s="35"/>
    </row>
    <row r="109" spans="1:15" s="36" customFormat="1" ht="13.2" x14ac:dyDescent="0.25">
      <c r="A109" s="34" t="s">
        <v>56</v>
      </c>
      <c r="B109" s="56" t="s">
        <v>57</v>
      </c>
      <c r="C109" s="35">
        <v>5.24</v>
      </c>
      <c r="D109" s="37"/>
      <c r="E109" s="37"/>
      <c r="F109" s="37"/>
      <c r="G109" s="38">
        <v>10</v>
      </c>
      <c r="H109" s="30">
        <v>0</v>
      </c>
      <c r="I109" s="28">
        <f t="shared" si="52"/>
        <v>314.39999999999998</v>
      </c>
      <c r="J109" s="28">
        <f t="shared" si="53"/>
        <v>3144</v>
      </c>
      <c r="K109" s="28">
        <f t="shared" si="54"/>
        <v>314.39999999999998</v>
      </c>
      <c r="L109" s="31">
        <f t="shared" si="55"/>
        <v>3144</v>
      </c>
      <c r="M109" s="35"/>
      <c r="N109" s="35"/>
    </row>
    <row r="110" spans="1:15" s="33" customFormat="1" ht="13.2" x14ac:dyDescent="0.25">
      <c r="A110" s="34"/>
      <c r="B110" s="47" t="s">
        <v>118</v>
      </c>
      <c r="C110" s="48">
        <v>12</v>
      </c>
      <c r="D110" s="47"/>
      <c r="E110" s="47"/>
      <c r="F110" s="47"/>
      <c r="G110" s="38">
        <v>10</v>
      </c>
      <c r="H110" s="30">
        <v>0</v>
      </c>
      <c r="I110" s="28">
        <f t="shared" si="52"/>
        <v>720</v>
      </c>
      <c r="J110" s="28">
        <f t="shared" si="53"/>
        <v>7200</v>
      </c>
      <c r="K110" s="28">
        <f t="shared" si="54"/>
        <v>720</v>
      </c>
      <c r="L110" s="31">
        <f t="shared" si="55"/>
        <v>7200</v>
      </c>
      <c r="M110" s="32"/>
      <c r="N110" s="32"/>
    </row>
    <row r="111" spans="1:15" s="36" customFormat="1" ht="13.2" x14ac:dyDescent="0.25">
      <c r="A111" s="34"/>
      <c r="B111" s="56" t="s">
        <v>47</v>
      </c>
      <c r="C111" s="35">
        <v>13</v>
      </c>
      <c r="D111" s="37"/>
      <c r="E111" s="37"/>
      <c r="F111" s="37"/>
      <c r="G111" s="38">
        <v>5</v>
      </c>
      <c r="H111" s="30">
        <v>0</v>
      </c>
      <c r="I111" s="28">
        <f t="shared" si="52"/>
        <v>780</v>
      </c>
      <c r="J111" s="28">
        <f t="shared" si="53"/>
        <v>3900</v>
      </c>
      <c r="K111" s="28">
        <f t="shared" si="54"/>
        <v>780</v>
      </c>
      <c r="L111" s="31">
        <f t="shared" si="55"/>
        <v>3900</v>
      </c>
      <c r="M111" s="35"/>
      <c r="N111" s="35"/>
    </row>
    <row r="112" spans="1:15" s="7" customFormat="1" ht="13.2" x14ac:dyDescent="0.25">
      <c r="A112" s="19"/>
      <c r="B112" s="20" t="s">
        <v>48</v>
      </c>
      <c r="C112" s="22">
        <v>0.87</v>
      </c>
      <c r="D112" s="20"/>
      <c r="E112" s="19"/>
      <c r="F112" s="20"/>
      <c r="G112" s="27">
        <v>10</v>
      </c>
      <c r="H112" s="30">
        <v>0</v>
      </c>
      <c r="I112" s="6">
        <f t="shared" si="52"/>
        <v>52.199999999999996</v>
      </c>
      <c r="J112" s="6">
        <f t="shared" si="53"/>
        <v>522</v>
      </c>
      <c r="K112" s="6">
        <f t="shared" si="54"/>
        <v>52.199999999999996</v>
      </c>
      <c r="L112" s="10">
        <f t="shared" si="55"/>
        <v>522</v>
      </c>
      <c r="M112" s="11"/>
      <c r="N112" s="11"/>
    </row>
    <row r="113" spans="1:17" s="7" customFormat="1" ht="13.2" x14ac:dyDescent="0.25">
      <c r="A113" s="19"/>
      <c r="B113" s="20" t="s">
        <v>49</v>
      </c>
      <c r="C113" s="23">
        <v>12</v>
      </c>
      <c r="D113" s="20"/>
      <c r="E113" s="20"/>
      <c r="F113" s="20"/>
      <c r="G113" s="27">
        <v>6</v>
      </c>
      <c r="H113" s="30">
        <v>0</v>
      </c>
      <c r="I113" s="6">
        <f t="shared" si="52"/>
        <v>720</v>
      </c>
      <c r="J113" s="6">
        <f t="shared" si="53"/>
        <v>4320</v>
      </c>
      <c r="K113" s="6">
        <f t="shared" si="54"/>
        <v>720</v>
      </c>
      <c r="L113" s="10">
        <f t="shared" si="55"/>
        <v>4320</v>
      </c>
      <c r="M113" s="11"/>
      <c r="N113" s="11"/>
    </row>
    <row r="114" spans="1:17" s="33" customFormat="1" ht="13.2" x14ac:dyDescent="0.25">
      <c r="A114" s="34"/>
      <c r="B114" s="47" t="s">
        <v>50</v>
      </c>
      <c r="C114" s="48"/>
      <c r="D114" s="28">
        <v>29</v>
      </c>
      <c r="E114" s="28"/>
      <c r="F114" s="28"/>
      <c r="G114" s="38">
        <v>4</v>
      </c>
      <c r="H114" s="30">
        <v>0</v>
      </c>
      <c r="I114" s="28">
        <f t="shared" si="52"/>
        <v>1450</v>
      </c>
      <c r="J114" s="28">
        <f t="shared" si="53"/>
        <v>5800</v>
      </c>
      <c r="K114" s="28">
        <f t="shared" si="54"/>
        <v>1450</v>
      </c>
      <c r="L114" s="31">
        <f t="shared" si="55"/>
        <v>5800</v>
      </c>
      <c r="M114" s="32"/>
      <c r="N114" s="32"/>
    </row>
    <row r="115" spans="1:17" s="7" customFormat="1" ht="13.2" x14ac:dyDescent="0.25">
      <c r="A115" s="12"/>
      <c r="B115" s="12" t="s">
        <v>169</v>
      </c>
      <c r="C115" s="12"/>
      <c r="D115" s="12"/>
      <c r="E115" s="12"/>
      <c r="F115" s="12"/>
      <c r="G115" s="8">
        <v>1</v>
      </c>
      <c r="H115" s="12"/>
      <c r="I115" s="88">
        <f>SUM(J116:J118)</f>
        <v>6730</v>
      </c>
      <c r="J115" s="89"/>
      <c r="K115" s="88">
        <f>SUM(L116:L118)</f>
        <v>6730</v>
      </c>
      <c r="L115" s="89"/>
      <c r="M115" s="13">
        <f>K115+SUM(F152:F154)</f>
        <v>6730</v>
      </c>
      <c r="N115" s="14">
        <f>ROUNDUP(K115*(1+$B$1),-1)*G115</f>
        <v>8750</v>
      </c>
    </row>
    <row r="116" spans="1:17" x14ac:dyDescent="0.3">
      <c r="A116" s="52" t="s">
        <v>170</v>
      </c>
      <c r="B116" s="78" t="s">
        <v>171</v>
      </c>
      <c r="C116" s="58">
        <v>43</v>
      </c>
      <c r="D116" s="58"/>
      <c r="E116" s="58"/>
      <c r="F116" s="58"/>
      <c r="G116" s="59">
        <v>1</v>
      </c>
      <c r="H116" s="60">
        <v>0</v>
      </c>
      <c r="I116" s="58">
        <f>(C116*$D$1*1.2+D116*$D$1+E116*$E$1+F116)</f>
        <v>2580</v>
      </c>
      <c r="J116" s="58">
        <f>I116*G116</f>
        <v>2580</v>
      </c>
      <c r="K116" s="58">
        <f>I116*(1-H116/1)</f>
        <v>2580</v>
      </c>
      <c r="L116" s="61">
        <f>K116*G116</f>
        <v>2580</v>
      </c>
      <c r="M116" s="62"/>
      <c r="N116" s="62"/>
    </row>
    <row r="117" spans="1:17" s="7" customFormat="1" ht="12.9" customHeight="1" x14ac:dyDescent="0.3">
      <c r="A117" s="52" t="s">
        <v>172</v>
      </c>
      <c r="B117" s="53"/>
      <c r="C117" s="6">
        <v>45</v>
      </c>
      <c r="D117" s="6"/>
      <c r="E117" s="6"/>
      <c r="F117" s="24"/>
      <c r="G117" s="29">
        <v>1</v>
      </c>
      <c r="H117" s="60">
        <v>0</v>
      </c>
      <c r="I117" s="6">
        <f t="shared" ref="I117" si="56">(C117*$D$1*1.2+D117*$D$1+E117*$E$1+F117)</f>
        <v>2700</v>
      </c>
      <c r="J117" s="6">
        <f t="shared" ref="J117" si="57">I117*G117</f>
        <v>2700</v>
      </c>
      <c r="K117" s="6">
        <f t="shared" ref="K117" si="58">I117*(1-H117/1)</f>
        <v>2700</v>
      </c>
      <c r="L117" s="10">
        <f t="shared" ref="L117" si="59">K117*G117</f>
        <v>2700</v>
      </c>
      <c r="M117" s="11"/>
      <c r="N117" s="11"/>
    </row>
    <row r="118" spans="1:17" s="33" customFormat="1" ht="13.2" x14ac:dyDescent="0.25">
      <c r="A118" s="34"/>
      <c r="B118" s="47" t="s">
        <v>50</v>
      </c>
      <c r="C118" s="48"/>
      <c r="D118" s="28">
        <v>29</v>
      </c>
      <c r="E118" s="28"/>
      <c r="F118" s="28"/>
      <c r="G118" s="38">
        <v>1</v>
      </c>
      <c r="H118" s="30">
        <v>0</v>
      </c>
      <c r="I118" s="28">
        <f t="shared" ref="I118" si="60">(C118*$D$1*1.2+D118*$D$1+E118*$E$1+F118)</f>
        <v>1450</v>
      </c>
      <c r="J118" s="28">
        <f t="shared" ref="J118" si="61">I118*G118</f>
        <v>1450</v>
      </c>
      <c r="K118" s="28">
        <f t="shared" ref="K118" si="62">I118*(1-H118/1)</f>
        <v>1450</v>
      </c>
      <c r="L118" s="31">
        <f t="shared" ref="L118" si="63">K118*G118</f>
        <v>1450</v>
      </c>
      <c r="M118" s="32"/>
      <c r="N118" s="32"/>
    </row>
    <row r="119" spans="1:17" s="7" customFormat="1" ht="13.2" x14ac:dyDescent="0.25">
      <c r="A119" s="12"/>
      <c r="B119" s="12" t="s">
        <v>158</v>
      </c>
      <c r="C119" s="12"/>
      <c r="D119" s="12"/>
      <c r="E119" s="12"/>
      <c r="F119" s="12"/>
      <c r="G119" s="8">
        <v>1</v>
      </c>
      <c r="H119" s="12"/>
      <c r="I119" s="88">
        <f>SUM(J120)</f>
        <v>6600</v>
      </c>
      <c r="J119" s="89"/>
      <c r="K119" s="88">
        <f>SUM(L120)</f>
        <v>6600</v>
      </c>
      <c r="L119" s="89"/>
      <c r="M119" s="13">
        <f>K119+SUM(F139:F141)</f>
        <v>6600</v>
      </c>
      <c r="N119" s="14">
        <f>ROUNDUP(K119*(1+$B$1),-1)*G119</f>
        <v>8580</v>
      </c>
      <c r="O119" s="7">
        <f>N119/1.2</f>
        <v>7150</v>
      </c>
      <c r="P119" s="7">
        <f>SUM(O3:O119)</f>
        <v>641824.23535920004</v>
      </c>
      <c r="Q119" s="7">
        <f>P119/5</f>
        <v>128364.84707184001</v>
      </c>
    </row>
    <row r="120" spans="1:17" x14ac:dyDescent="0.3">
      <c r="A120" s="65" t="s">
        <v>160</v>
      </c>
      <c r="B120" s="78" t="s">
        <v>159</v>
      </c>
      <c r="C120" s="58">
        <v>55</v>
      </c>
      <c r="D120" s="58"/>
      <c r="E120" s="58"/>
      <c r="F120" s="58"/>
      <c r="G120" s="59">
        <v>2</v>
      </c>
      <c r="H120" s="60">
        <v>0</v>
      </c>
      <c r="I120" s="58">
        <f>(C120*$D$1*1.2+D120*$D$1+E120*$E$1+F120)</f>
        <v>3300</v>
      </c>
      <c r="J120" s="58">
        <f>I120*G120</f>
        <v>6600</v>
      </c>
      <c r="K120" s="58">
        <f>I120*(1-H120/1)</f>
        <v>3300</v>
      </c>
      <c r="L120" s="61">
        <f>K120*G120</f>
        <v>6600</v>
      </c>
      <c r="M120" s="62"/>
      <c r="N120" s="62"/>
      <c r="Q120" s="1">
        <f>Q119+P119</f>
        <v>770189.08243104001</v>
      </c>
    </row>
    <row r="121" spans="1:17" s="7" customFormat="1" ht="13.2" x14ac:dyDescent="0.25">
      <c r="A121" s="12"/>
      <c r="B121" s="12" t="s">
        <v>161</v>
      </c>
      <c r="C121" s="12"/>
      <c r="D121" s="12"/>
      <c r="E121" s="12"/>
      <c r="F121" s="12"/>
      <c r="G121" s="8">
        <v>1</v>
      </c>
      <c r="H121" s="12"/>
      <c r="I121" s="88">
        <f>SUM(J122:J138)</f>
        <v>126000</v>
      </c>
      <c r="J121" s="89"/>
      <c r="K121" s="88">
        <f>SUM(L122:L138)</f>
        <v>126000</v>
      </c>
      <c r="L121" s="89"/>
      <c r="M121" s="13">
        <f>K121+SUM(F154:F156)</f>
        <v>126000</v>
      </c>
      <c r="N121" s="14">
        <f>ROUNDUP(K121*(1+0),-1)*G121</f>
        <v>126000</v>
      </c>
    </row>
    <row r="122" spans="1:17" x14ac:dyDescent="0.3">
      <c r="A122" s="65"/>
      <c r="B122" s="78" t="s">
        <v>162</v>
      </c>
      <c r="C122" s="58"/>
      <c r="D122" s="58"/>
      <c r="E122" s="58"/>
      <c r="F122" s="58">
        <v>50000</v>
      </c>
      <c r="G122" s="59">
        <v>1</v>
      </c>
      <c r="H122" s="60">
        <v>0</v>
      </c>
      <c r="I122" s="58">
        <f>(C122*$D$1*1.2+D122*$D$1+E122*$E$1+F122)</f>
        <v>50000</v>
      </c>
      <c r="J122" s="58">
        <f>I122*G122</f>
        <v>50000</v>
      </c>
      <c r="K122" s="58">
        <f>I122*(1-H122/1)</f>
        <v>50000</v>
      </c>
      <c r="L122" s="61">
        <f>K122*G122</f>
        <v>50000</v>
      </c>
      <c r="M122" s="62"/>
      <c r="N122" s="62"/>
      <c r="O122" s="1">
        <v>86000</v>
      </c>
      <c r="P122" s="1">
        <f>O122/1.2</f>
        <v>71666.666666666672</v>
      </c>
    </row>
    <row r="123" spans="1:17" x14ac:dyDescent="0.3">
      <c r="A123" s="65"/>
      <c r="B123" s="78" t="s">
        <v>162</v>
      </c>
      <c r="C123" s="58"/>
      <c r="D123" s="58"/>
      <c r="E123" s="58"/>
      <c r="F123" s="58">
        <v>16000</v>
      </c>
      <c r="G123" s="59">
        <v>1</v>
      </c>
      <c r="H123" s="60">
        <v>0</v>
      </c>
      <c r="I123" s="58">
        <f>(C123*$D$1*1.2+D123*$D$1+E123*$E$1+F123)</f>
        <v>16000</v>
      </c>
      <c r="J123" s="58">
        <f>I123*G123</f>
        <v>16000</v>
      </c>
      <c r="K123" s="58">
        <f>I123*(1-H123/1)</f>
        <v>16000</v>
      </c>
      <c r="L123" s="61">
        <f>K123*G123</f>
        <v>16000</v>
      </c>
      <c r="M123" s="62"/>
      <c r="N123" s="62"/>
      <c r="O123" s="1">
        <v>72000</v>
      </c>
      <c r="P123" s="1">
        <f>O123/5</f>
        <v>14400</v>
      </c>
      <c r="Q123" s="1">
        <f>SUM(O123:P123)</f>
        <v>86400</v>
      </c>
    </row>
    <row r="124" spans="1:17" s="7" customFormat="1" ht="12.9" customHeight="1" x14ac:dyDescent="0.3">
      <c r="A124" s="52"/>
      <c r="B124" s="53" t="s">
        <v>163</v>
      </c>
      <c r="C124" s="6"/>
      <c r="D124" s="6"/>
      <c r="E124" s="6"/>
      <c r="F124" s="58">
        <v>20000</v>
      </c>
      <c r="G124" s="29">
        <v>1</v>
      </c>
      <c r="H124" s="26">
        <v>0</v>
      </c>
      <c r="I124" s="58">
        <f t="shared" ref="I124:I126" si="64">(C124*$D$1*1.2+D124*$D$1+E124*$E$1+F124)</f>
        <v>20000</v>
      </c>
      <c r="J124" s="58">
        <f t="shared" ref="J124:J126" si="65">I124*G124</f>
        <v>20000</v>
      </c>
      <c r="K124" s="58">
        <f t="shared" ref="K124:K126" si="66">I124*(1-H124/1)</f>
        <v>20000</v>
      </c>
      <c r="L124" s="58">
        <f t="shared" ref="L124:L126" si="67">K124*G124</f>
        <v>20000</v>
      </c>
      <c r="M124" s="11"/>
      <c r="N124" s="11"/>
      <c r="O124" s="7">
        <v>36000</v>
      </c>
      <c r="P124" s="1">
        <f>O124/5</f>
        <v>7200</v>
      </c>
      <c r="Q124" s="1">
        <f>SUM(O124:P124)</f>
        <v>43200</v>
      </c>
    </row>
    <row r="125" spans="1:17" s="7" customFormat="1" ht="12.9" customHeight="1" x14ac:dyDescent="0.25">
      <c r="A125" s="52"/>
      <c r="B125" s="53" t="s">
        <v>164</v>
      </c>
      <c r="C125" s="6"/>
      <c r="D125" s="6"/>
      <c r="E125" s="6"/>
      <c r="F125" s="58">
        <v>20000</v>
      </c>
      <c r="G125" s="29">
        <v>1</v>
      </c>
      <c r="H125" s="26">
        <v>0</v>
      </c>
      <c r="I125" s="58">
        <f t="shared" si="64"/>
        <v>20000</v>
      </c>
      <c r="J125" s="58">
        <f t="shared" si="65"/>
        <v>20000</v>
      </c>
      <c r="K125" s="58">
        <f t="shared" si="66"/>
        <v>20000</v>
      </c>
      <c r="L125" s="58">
        <f t="shared" si="67"/>
        <v>20000</v>
      </c>
      <c r="M125" s="11"/>
      <c r="N125" s="11"/>
      <c r="P125" s="7">
        <f>SUM(P123:P124)</f>
        <v>21600</v>
      </c>
      <c r="Q125" s="7">
        <f>SUM(Q123:Q124)</f>
        <v>129600</v>
      </c>
    </row>
    <row r="126" spans="1:17" s="7" customFormat="1" ht="12.9" customHeight="1" x14ac:dyDescent="0.25">
      <c r="A126" s="52"/>
      <c r="B126" s="53" t="s">
        <v>165</v>
      </c>
      <c r="C126" s="6"/>
      <c r="D126" s="6"/>
      <c r="E126" s="6"/>
      <c r="F126" s="58">
        <v>20000</v>
      </c>
      <c r="G126" s="29">
        <v>1</v>
      </c>
      <c r="H126" s="26">
        <v>0</v>
      </c>
      <c r="I126" s="58">
        <f t="shared" si="64"/>
        <v>20000</v>
      </c>
      <c r="J126" s="58">
        <f t="shared" si="65"/>
        <v>20000</v>
      </c>
      <c r="K126" s="58">
        <f t="shared" si="66"/>
        <v>20000</v>
      </c>
      <c r="L126" s="58">
        <f t="shared" si="67"/>
        <v>20000</v>
      </c>
      <c r="M126" s="11"/>
      <c r="N126" s="11"/>
    </row>
    <row r="127" spans="1:17" s="7" customFormat="1" ht="13.2" x14ac:dyDescent="0.25">
      <c r="A127" s="12"/>
      <c r="B127" s="12" t="s">
        <v>173</v>
      </c>
      <c r="C127" s="12"/>
      <c r="D127" s="12"/>
      <c r="E127" s="12"/>
      <c r="F127" s="12"/>
      <c r="G127" s="8">
        <v>1</v>
      </c>
      <c r="H127" s="12"/>
      <c r="I127" s="88">
        <f>SUM(J128:J144)</f>
        <v>0</v>
      </c>
      <c r="J127" s="89"/>
      <c r="K127" s="88">
        <f>SUM(L128:L144)</f>
        <v>0</v>
      </c>
      <c r="L127" s="89"/>
      <c r="M127" s="13">
        <f>K127+SUM(F160:F162)</f>
        <v>0</v>
      </c>
      <c r="N127" s="14">
        <f>ROUNDUP(K127*(1+0),-1)*G127</f>
        <v>0</v>
      </c>
    </row>
    <row r="128" spans="1:17" x14ac:dyDescent="0.3">
      <c r="A128" s="65"/>
      <c r="B128" s="78" t="s">
        <v>174</v>
      </c>
      <c r="C128" s="58"/>
      <c r="D128" s="58"/>
      <c r="E128" s="58"/>
      <c r="F128" s="58"/>
      <c r="G128" s="59">
        <v>22</v>
      </c>
      <c r="H128" s="60">
        <v>0</v>
      </c>
      <c r="I128" s="58">
        <f>(C128*$D$1*1.2+D128*$D$1+E128*$E$1+F128)</f>
        <v>0</v>
      </c>
      <c r="J128" s="58">
        <f>I128*G128</f>
        <v>0</v>
      </c>
      <c r="K128" s="58">
        <f>I128*(1-H128/1)</f>
        <v>0</v>
      </c>
      <c r="L128" s="61">
        <f>K128*G128</f>
        <v>0</v>
      </c>
      <c r="M128" s="62"/>
      <c r="N128" s="62"/>
      <c r="O128" s="1">
        <v>86000</v>
      </c>
      <c r="P128" s="1">
        <f>O128/1.2</f>
        <v>71666.666666666672</v>
      </c>
    </row>
    <row r="129" spans="1:17" x14ac:dyDescent="0.3">
      <c r="A129" s="65"/>
      <c r="B129" s="78" t="s">
        <v>175</v>
      </c>
      <c r="C129" s="58"/>
      <c r="D129" s="58"/>
      <c r="E129" s="58"/>
      <c r="F129" s="58"/>
      <c r="G129" s="59">
        <v>15</v>
      </c>
      <c r="H129" s="60">
        <v>0</v>
      </c>
      <c r="I129" s="58">
        <f>(C129*$D$1*1.2+D129*$D$1+E129*$E$1+F129)</f>
        <v>0</v>
      </c>
      <c r="J129" s="58">
        <f>I129*G129</f>
        <v>0</v>
      </c>
      <c r="K129" s="58">
        <f>I129*(1-H129/1)</f>
        <v>0</v>
      </c>
      <c r="L129" s="61">
        <f>K129*G129</f>
        <v>0</v>
      </c>
      <c r="M129" s="62"/>
      <c r="N129" s="62"/>
      <c r="O129" s="1">
        <v>72000</v>
      </c>
      <c r="P129" s="1">
        <f>O129/5</f>
        <v>14400</v>
      </c>
      <c r="Q129" s="1">
        <f>SUM(O129:P129)</f>
        <v>86400</v>
      </c>
    </row>
    <row r="130" spans="1:17" s="7" customFormat="1" ht="12.9" customHeight="1" x14ac:dyDescent="0.3">
      <c r="A130" s="52"/>
      <c r="B130" s="53" t="s">
        <v>176</v>
      </c>
      <c r="C130" s="6"/>
      <c r="D130" s="6"/>
      <c r="E130" s="6"/>
      <c r="F130" s="58"/>
      <c r="G130" s="29">
        <f>15+10</f>
        <v>25</v>
      </c>
      <c r="H130" s="26">
        <v>0</v>
      </c>
      <c r="I130" s="58">
        <f t="shared" ref="I130:I132" si="68">(C130*$D$1*1.2+D130*$D$1+E130*$E$1+F130)</f>
        <v>0</v>
      </c>
      <c r="J130" s="58">
        <f t="shared" ref="J130:J132" si="69">I130*G130</f>
        <v>0</v>
      </c>
      <c r="K130" s="58">
        <f t="shared" ref="K130:K132" si="70">I130*(1-H130/1)</f>
        <v>0</v>
      </c>
      <c r="L130" s="58">
        <f t="shared" ref="L130:L132" si="71">K130*G130</f>
        <v>0</v>
      </c>
      <c r="M130" s="11"/>
      <c r="N130" s="11"/>
      <c r="O130" s="7">
        <v>36000</v>
      </c>
      <c r="P130" s="1">
        <f>O130/5</f>
        <v>7200</v>
      </c>
      <c r="Q130" s="1">
        <f>SUM(O130:P130)</f>
        <v>43200</v>
      </c>
    </row>
    <row r="131" spans="1:17" s="7" customFormat="1" ht="12.9" customHeight="1" x14ac:dyDescent="0.25">
      <c r="A131" s="52"/>
      <c r="B131" s="53" t="s">
        <v>177</v>
      </c>
      <c r="C131" s="6"/>
      <c r="D131" s="6"/>
      <c r="E131" s="6"/>
      <c r="F131" s="58"/>
      <c r="G131" s="29">
        <v>1</v>
      </c>
      <c r="H131" s="26">
        <v>0</v>
      </c>
      <c r="I131" s="58">
        <f t="shared" si="68"/>
        <v>0</v>
      </c>
      <c r="J131" s="58">
        <f t="shared" si="69"/>
        <v>0</v>
      </c>
      <c r="K131" s="58">
        <f t="shared" si="70"/>
        <v>0</v>
      </c>
      <c r="L131" s="58">
        <f t="shared" si="71"/>
        <v>0</v>
      </c>
      <c r="M131" s="11"/>
      <c r="N131" s="11"/>
      <c r="P131" s="7">
        <f>SUM(P129:P130)</f>
        <v>21600</v>
      </c>
      <c r="Q131" s="7">
        <f>SUM(Q129:Q130)</f>
        <v>129600</v>
      </c>
    </row>
    <row r="132" spans="1:17" s="7" customFormat="1" ht="12.9" customHeight="1" x14ac:dyDescent="0.25">
      <c r="A132" s="52"/>
      <c r="B132" s="53" t="s">
        <v>165</v>
      </c>
      <c r="C132" s="6"/>
      <c r="D132" s="6"/>
      <c r="E132" s="6"/>
      <c r="F132" s="58"/>
      <c r="G132" s="29">
        <v>1</v>
      </c>
      <c r="H132" s="26">
        <v>0</v>
      </c>
      <c r="I132" s="58">
        <f t="shared" si="68"/>
        <v>0</v>
      </c>
      <c r="J132" s="58">
        <f t="shared" si="69"/>
        <v>0</v>
      </c>
      <c r="K132" s="58">
        <f t="shared" si="70"/>
        <v>0</v>
      </c>
      <c r="L132" s="58">
        <f t="shared" si="71"/>
        <v>0</v>
      </c>
      <c r="M132" s="11"/>
      <c r="N132" s="11"/>
    </row>
    <row r="133" spans="1:17" ht="24" x14ac:dyDescent="0.4">
      <c r="B133" s="87" t="s">
        <v>178</v>
      </c>
    </row>
  </sheetData>
  <mergeCells count="17">
    <mergeCell ref="I115:J115"/>
    <mergeCell ref="K115:L115"/>
    <mergeCell ref="I127:J127"/>
    <mergeCell ref="K127:L127"/>
    <mergeCell ref="A1:A2"/>
    <mergeCell ref="I1:J1"/>
    <mergeCell ref="K1:L1"/>
    <mergeCell ref="I3:J3"/>
    <mergeCell ref="K3:L3"/>
    <mergeCell ref="I119:J119"/>
    <mergeCell ref="K119:L119"/>
    <mergeCell ref="I121:J121"/>
    <mergeCell ref="K121:L121"/>
    <mergeCell ref="I5:J5"/>
    <mergeCell ref="K5:L5"/>
    <mergeCell ref="I99:J99"/>
    <mergeCell ref="K99:L99"/>
  </mergeCells>
  <phoneticPr fontId="112" type="noConversion"/>
  <conditionalFormatting sqref="A18">
    <cfRule type="duplicateValues" dxfId="36" priority="7"/>
    <cfRule type="duplicateValues" dxfId="35" priority="8"/>
    <cfRule type="duplicateValues" dxfId="34" priority="9"/>
    <cfRule type="duplicateValues" dxfId="33" priority="10"/>
  </conditionalFormatting>
  <conditionalFormatting sqref="A31">
    <cfRule type="duplicateValues" dxfId="32" priority="33"/>
    <cfRule type="duplicateValues" dxfId="31" priority="34"/>
    <cfRule type="duplicateValues" dxfId="30" priority="35"/>
    <cfRule type="duplicateValues" dxfId="29" priority="36"/>
  </conditionalFormatting>
  <conditionalFormatting sqref="A32">
    <cfRule type="duplicateValues" dxfId="28" priority="41"/>
    <cfRule type="duplicateValues" dxfId="27" priority="42"/>
    <cfRule type="duplicateValues" dxfId="26" priority="43"/>
    <cfRule type="duplicateValues" dxfId="25" priority="44"/>
  </conditionalFormatting>
  <conditionalFormatting sqref="A33">
    <cfRule type="duplicateValues" dxfId="24" priority="29"/>
    <cfRule type="duplicateValues" dxfId="23" priority="30"/>
    <cfRule type="duplicateValues" dxfId="22" priority="31"/>
    <cfRule type="duplicateValues" dxfId="21" priority="32"/>
  </conditionalFormatting>
  <conditionalFormatting sqref="A34">
    <cfRule type="duplicateValues" dxfId="20" priority="28"/>
  </conditionalFormatting>
  <conditionalFormatting sqref="A58">
    <cfRule type="duplicateValues" dxfId="19" priority="16"/>
    <cfRule type="duplicateValues" dxfId="18" priority="17"/>
    <cfRule type="duplicateValues" dxfId="17" priority="18"/>
    <cfRule type="duplicateValues" dxfId="16" priority="19"/>
  </conditionalFormatting>
  <conditionalFormatting sqref="A59">
    <cfRule type="duplicateValues" dxfId="15" priority="24"/>
    <cfRule type="duplicateValues" dxfId="14" priority="25"/>
    <cfRule type="duplicateValues" dxfId="13" priority="26"/>
    <cfRule type="duplicateValues" dxfId="12" priority="27"/>
  </conditionalFormatting>
  <conditionalFormatting sqref="A60">
    <cfRule type="duplicateValues" dxfId="11" priority="12"/>
    <cfRule type="duplicateValues" dxfId="10" priority="13"/>
    <cfRule type="duplicateValues" dxfId="9" priority="14"/>
    <cfRule type="duplicateValues" dxfId="8" priority="15"/>
  </conditionalFormatting>
  <conditionalFormatting sqref="A61">
    <cfRule type="duplicateValues" dxfId="7" priority="11"/>
  </conditionalFormatting>
  <conditionalFormatting sqref="A87">
    <cfRule type="duplicateValues" dxfId="6" priority="5"/>
  </conditionalFormatting>
  <conditionalFormatting sqref="A101">
    <cfRule type="duplicateValues" dxfId="5" priority="6"/>
  </conditionalFormatting>
  <conditionalFormatting sqref="A120">
    <cfRule type="duplicateValues" dxfId="4" priority="4"/>
  </conditionalFormatting>
  <conditionalFormatting sqref="A122:A123">
    <cfRule type="duplicateValues" dxfId="3" priority="3"/>
  </conditionalFormatting>
  <conditionalFormatting sqref="A128:A129">
    <cfRule type="duplicateValues" dxfId="2" priority="1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B19E-64B1-4361-AD3D-AEB88C4168C7}">
  <dimension ref="A1:C19"/>
  <sheetViews>
    <sheetView zoomScale="140" zoomScaleNormal="140" workbookViewId="0">
      <selection activeCell="B6" sqref="B6"/>
    </sheetView>
  </sheetViews>
  <sheetFormatPr defaultColWidth="13.44140625" defaultRowHeight="13.8" x14ac:dyDescent="0.3"/>
  <cols>
    <col min="1" max="1" width="19.5546875" style="3" customWidth="1"/>
    <col min="2" max="2" width="63" style="1" customWidth="1"/>
    <col min="3" max="3" width="8" style="2" customWidth="1"/>
    <col min="4" max="16384" width="13.44140625" style="1"/>
  </cols>
  <sheetData>
    <row r="1" spans="1:3" s="42" customFormat="1" ht="15.6" x14ac:dyDescent="0.25">
      <c r="A1" s="94" t="s">
        <v>13</v>
      </c>
      <c r="B1" s="46"/>
      <c r="C1" s="41"/>
    </row>
    <row r="2" spans="1:3" s="42" customFormat="1" ht="15.6" x14ac:dyDescent="0.25">
      <c r="A2" s="95"/>
      <c r="B2" s="43" t="s">
        <v>3</v>
      </c>
      <c r="C2" s="44" t="s">
        <v>8</v>
      </c>
    </row>
    <row r="3" spans="1:3" s="7" customFormat="1" ht="13.2" x14ac:dyDescent="0.25">
      <c r="A3" s="12"/>
      <c r="B3" s="12" t="s">
        <v>119</v>
      </c>
      <c r="C3" s="8">
        <v>1</v>
      </c>
    </row>
    <row r="4" spans="1:3" s="7" customFormat="1" ht="13.2" x14ac:dyDescent="0.25">
      <c r="A4" s="15"/>
      <c r="B4" s="16" t="s">
        <v>17</v>
      </c>
      <c r="C4" s="25"/>
    </row>
    <row r="5" spans="1:3" ht="15.6" x14ac:dyDescent="0.3">
      <c r="A5" s="82"/>
      <c r="B5" s="82" t="s">
        <v>120</v>
      </c>
      <c r="C5" s="83"/>
    </row>
    <row r="6" spans="1:3" x14ac:dyDescent="0.3">
      <c r="A6" s="75"/>
      <c r="B6" s="57" t="s">
        <v>166</v>
      </c>
      <c r="C6" s="59">
        <v>1</v>
      </c>
    </row>
    <row r="7" spans="1:3" x14ac:dyDescent="0.3">
      <c r="A7" s="52" t="s">
        <v>114</v>
      </c>
      <c r="B7" s="78" t="s">
        <v>115</v>
      </c>
      <c r="C7" s="59">
        <v>1</v>
      </c>
    </row>
    <row r="8" spans="1:3" s="7" customFormat="1" ht="12.9" customHeight="1" x14ac:dyDescent="0.25">
      <c r="A8" s="52" t="s">
        <v>28</v>
      </c>
      <c r="B8" s="53" t="s">
        <v>29</v>
      </c>
      <c r="C8" s="25">
        <v>2</v>
      </c>
    </row>
    <row r="9" spans="1:3" s="7" customFormat="1" ht="12.9" customHeight="1" x14ac:dyDescent="0.25">
      <c r="A9" s="54" t="s">
        <v>30</v>
      </c>
      <c r="B9" s="55" t="s">
        <v>31</v>
      </c>
      <c r="C9" s="25">
        <v>1</v>
      </c>
    </row>
    <row r="10" spans="1:3" s="64" customFormat="1" ht="13.2" customHeight="1" x14ac:dyDescent="0.25">
      <c r="A10" s="34" t="s">
        <v>60</v>
      </c>
      <c r="B10" s="66" t="s">
        <v>61</v>
      </c>
      <c r="C10" s="59">
        <v>1</v>
      </c>
    </row>
    <row r="11" spans="1:3" s="64" customFormat="1" ht="13.2" customHeight="1" x14ac:dyDescent="0.25">
      <c r="A11" s="34" t="s">
        <v>102</v>
      </c>
      <c r="B11" s="66" t="s">
        <v>103</v>
      </c>
      <c r="C11" s="59">
        <v>1</v>
      </c>
    </row>
    <row r="12" spans="1:3" s="64" customFormat="1" ht="13.2" customHeight="1" x14ac:dyDescent="0.25">
      <c r="A12" s="34" t="s">
        <v>107</v>
      </c>
      <c r="B12" s="66" t="s">
        <v>108</v>
      </c>
      <c r="C12" s="59">
        <v>2</v>
      </c>
    </row>
    <row r="13" spans="1:3" s="64" customFormat="1" ht="13.2" customHeight="1" x14ac:dyDescent="0.25">
      <c r="A13" s="34" t="s">
        <v>104</v>
      </c>
      <c r="B13" s="66" t="s">
        <v>105</v>
      </c>
      <c r="C13" s="59">
        <v>2</v>
      </c>
    </row>
    <row r="14" spans="1:3" s="36" customFormat="1" ht="13.2" x14ac:dyDescent="0.25">
      <c r="A14" s="34" t="s">
        <v>148</v>
      </c>
      <c r="B14" s="56" t="s">
        <v>149</v>
      </c>
      <c r="C14" s="38">
        <v>1</v>
      </c>
    </row>
    <row r="15" spans="1:3" s="36" customFormat="1" ht="13.2" x14ac:dyDescent="0.25">
      <c r="A15" s="34" t="s">
        <v>150</v>
      </c>
      <c r="B15" s="56" t="s">
        <v>151</v>
      </c>
      <c r="C15" s="38">
        <v>1</v>
      </c>
    </row>
    <row r="16" spans="1:3" s="36" customFormat="1" ht="13.2" x14ac:dyDescent="0.25">
      <c r="A16" s="34" t="s">
        <v>152</v>
      </c>
      <c r="B16" s="56" t="s">
        <v>153</v>
      </c>
      <c r="C16" s="38">
        <v>1</v>
      </c>
    </row>
    <row r="17" spans="1:3" s="33" customFormat="1" ht="13.2" x14ac:dyDescent="0.25">
      <c r="A17" s="34" t="s">
        <v>154</v>
      </c>
      <c r="B17" s="47" t="s">
        <v>155</v>
      </c>
      <c r="C17" s="38">
        <v>1</v>
      </c>
    </row>
    <row r="18" spans="1:3" s="33" customFormat="1" x14ac:dyDescent="0.3">
      <c r="A18" s="34" t="s">
        <v>156</v>
      </c>
      <c r="B18" s="1" t="s">
        <v>167</v>
      </c>
      <c r="C18" s="38">
        <v>1</v>
      </c>
    </row>
    <row r="19" spans="1:3" s="7" customFormat="1" ht="26.4" x14ac:dyDescent="0.25">
      <c r="A19" s="21"/>
      <c r="B19" s="9" t="s">
        <v>168</v>
      </c>
      <c r="C19" s="25">
        <v>1</v>
      </c>
    </row>
  </sheetData>
  <mergeCells count="1">
    <mergeCell ref="A1:A2"/>
  </mergeCells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659D-C55E-43E0-95CE-E890E33C9500}">
  <dimension ref="B3:C8"/>
  <sheetViews>
    <sheetView workbookViewId="0">
      <selection activeCell="B9" sqref="B9"/>
    </sheetView>
  </sheetViews>
  <sheetFormatPr defaultRowHeight="13.2" x14ac:dyDescent="0.25"/>
  <cols>
    <col min="2" max="2" width="20.44140625" customWidth="1"/>
  </cols>
  <sheetData>
    <row r="3" spans="2:3" x14ac:dyDescent="0.25">
      <c r="B3" t="s">
        <v>183</v>
      </c>
    </row>
    <row r="4" spans="2:3" x14ac:dyDescent="0.25">
      <c r="B4" t="s">
        <v>184</v>
      </c>
      <c r="C4" t="s">
        <v>187</v>
      </c>
    </row>
    <row r="5" spans="2:3" x14ac:dyDescent="0.25">
      <c r="B5" t="s">
        <v>185</v>
      </c>
      <c r="C5" t="s">
        <v>186</v>
      </c>
    </row>
    <row r="7" spans="2:3" x14ac:dyDescent="0.25">
      <c r="B7" t="s">
        <v>188</v>
      </c>
    </row>
    <row r="8" spans="2:3" x14ac:dyDescent="0.25">
      <c r="B8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88D1-60A5-4911-88E7-153E96825E87}">
  <dimension ref="A1:Q15"/>
  <sheetViews>
    <sheetView topLeftCell="D1" zoomScale="140" zoomScaleNormal="140" workbookViewId="0">
      <selection activeCell="L19" sqref="L19"/>
    </sheetView>
  </sheetViews>
  <sheetFormatPr defaultColWidth="13.44140625" defaultRowHeight="13.8" x14ac:dyDescent="0.3"/>
  <cols>
    <col min="1" max="1" width="17.77734375" style="3" customWidth="1"/>
    <col min="2" max="2" width="63" style="1" customWidth="1"/>
    <col min="3" max="3" width="8" style="1" customWidth="1"/>
    <col min="4" max="4" width="7.6640625" style="1" bestFit="1" customWidth="1"/>
    <col min="5" max="5" width="8" style="1" customWidth="1"/>
    <col min="6" max="6" width="10.5546875" style="1" customWidth="1"/>
    <col min="7" max="7" width="8" style="2" customWidth="1"/>
    <col min="8" max="8" width="9.33203125" style="1" customWidth="1"/>
    <col min="9" max="10" width="11.109375" style="1" customWidth="1"/>
    <col min="11" max="12" width="12" style="1" customWidth="1"/>
    <col min="13" max="13" width="14.88671875" style="1" customWidth="1"/>
    <col min="14" max="14" width="14.88671875" style="1" bestFit="1" customWidth="1"/>
    <col min="15" max="16384" width="13.44140625" style="1"/>
  </cols>
  <sheetData>
    <row r="1" spans="1:17" s="42" customFormat="1" ht="15.6" x14ac:dyDescent="0.25">
      <c r="A1" s="90" t="s">
        <v>13</v>
      </c>
      <c r="B1" s="46">
        <v>0.3</v>
      </c>
      <c r="C1" s="39" t="s">
        <v>6</v>
      </c>
      <c r="D1" s="40">
        <v>50</v>
      </c>
      <c r="E1" s="40">
        <v>43</v>
      </c>
      <c r="F1" s="39" t="s">
        <v>16</v>
      </c>
      <c r="G1" s="41" t="s">
        <v>9</v>
      </c>
      <c r="H1" s="39" t="s">
        <v>4</v>
      </c>
      <c r="I1" s="91" t="s">
        <v>11</v>
      </c>
      <c r="J1" s="91"/>
      <c r="K1" s="91" t="s">
        <v>12</v>
      </c>
      <c r="L1" s="91"/>
      <c r="M1" s="39" t="s">
        <v>14</v>
      </c>
      <c r="N1" s="39" t="s">
        <v>15</v>
      </c>
    </row>
    <row r="2" spans="1:17" s="42" customFormat="1" ht="31.2" x14ac:dyDescent="0.25">
      <c r="A2" s="90"/>
      <c r="B2" s="43" t="s">
        <v>3</v>
      </c>
      <c r="C2" s="39" t="s">
        <v>0</v>
      </c>
      <c r="D2" s="39" t="s">
        <v>5</v>
      </c>
      <c r="E2" s="39" t="s">
        <v>10</v>
      </c>
      <c r="F2" s="39" t="s">
        <v>5</v>
      </c>
      <c r="G2" s="44" t="s">
        <v>8</v>
      </c>
      <c r="H2" s="45" t="s">
        <v>7</v>
      </c>
      <c r="I2" s="39" t="s">
        <v>1</v>
      </c>
      <c r="J2" s="39" t="s">
        <v>2</v>
      </c>
      <c r="K2" s="39" t="s">
        <v>1</v>
      </c>
      <c r="L2" s="39" t="s">
        <v>2</v>
      </c>
      <c r="M2" s="4">
        <f>SUM(M3:M49628)</f>
        <v>22830</v>
      </c>
      <c r="N2" s="5">
        <f>SUM(N3:N49628)</f>
        <v>29680</v>
      </c>
    </row>
    <row r="3" spans="1:17" s="7" customFormat="1" ht="13.2" x14ac:dyDescent="0.25">
      <c r="A3" s="12"/>
      <c r="B3" s="12" t="s">
        <v>169</v>
      </c>
      <c r="C3" s="12"/>
      <c r="D3" s="12"/>
      <c r="E3" s="12"/>
      <c r="F3" s="12"/>
      <c r="G3" s="8">
        <v>1</v>
      </c>
      <c r="H3" s="12"/>
      <c r="I3" s="88">
        <f>SUM(J4:J9)</f>
        <v>22830</v>
      </c>
      <c r="J3" s="89"/>
      <c r="K3" s="88">
        <f>SUM(L4:L9)</f>
        <v>22830</v>
      </c>
      <c r="L3" s="89"/>
      <c r="M3" s="13">
        <f>K3+SUM(F34:F36)</f>
        <v>22830</v>
      </c>
      <c r="N3" s="14">
        <f>ROUNDUP(K3*(1+$B$1),-1)*G3</f>
        <v>29680</v>
      </c>
      <c r="O3" s="7">
        <f>N3/1.2</f>
        <v>24733.333333333336</v>
      </c>
    </row>
    <row r="4" spans="1:17" x14ac:dyDescent="0.3">
      <c r="A4" s="52" t="s">
        <v>170</v>
      </c>
      <c r="B4" s="78" t="s">
        <v>171</v>
      </c>
      <c r="C4" s="58">
        <v>43</v>
      </c>
      <c r="D4" s="58"/>
      <c r="E4" s="58"/>
      <c r="F4" s="58"/>
      <c r="G4" s="59">
        <v>1</v>
      </c>
      <c r="H4" s="60">
        <v>0</v>
      </c>
      <c r="I4" s="58">
        <f>(C4*$D$1*1.2+D4*$D$1+E4*$E$1+F4)</f>
        <v>2580</v>
      </c>
      <c r="J4" s="58">
        <f>I4*G4</f>
        <v>2580</v>
      </c>
      <c r="K4" s="58">
        <f>I4*(1-H4/1)</f>
        <v>2580</v>
      </c>
      <c r="L4" s="61">
        <f>K4*G4</f>
        <v>2580</v>
      </c>
      <c r="M4" s="62"/>
      <c r="N4" s="62"/>
      <c r="O4" s="1">
        <f>O3/5</f>
        <v>4946.666666666667</v>
      </c>
    </row>
    <row r="5" spans="1:17" s="7" customFormat="1" ht="12.9" customHeight="1" x14ac:dyDescent="0.3">
      <c r="A5" s="52" t="s">
        <v>172</v>
      </c>
      <c r="B5" s="53"/>
      <c r="C5" s="6">
        <v>45</v>
      </c>
      <c r="D5" s="6"/>
      <c r="E5" s="6"/>
      <c r="F5" s="24"/>
      <c r="G5" s="29">
        <v>1</v>
      </c>
      <c r="H5" s="60">
        <v>0</v>
      </c>
      <c r="I5" s="6">
        <f t="shared" ref="I5:I9" si="0">(C5*$D$1*1.2+D5*$D$1+E5*$E$1+F5)</f>
        <v>2700</v>
      </c>
      <c r="J5" s="6">
        <f t="shared" ref="J5:J9" si="1">I5*G5</f>
        <v>2700</v>
      </c>
      <c r="K5" s="6">
        <f t="shared" ref="K5:K9" si="2">I5*(1-H5/1)</f>
        <v>2700</v>
      </c>
      <c r="L5" s="10">
        <f t="shared" ref="L5:L9" si="3">K5*G5</f>
        <v>2700</v>
      </c>
      <c r="M5" s="11"/>
      <c r="N5" s="11"/>
      <c r="O5" s="7">
        <f>SUM(O3:O4)</f>
        <v>29680.000000000004</v>
      </c>
      <c r="P5" s="7">
        <f>O5/2</f>
        <v>14840.000000000002</v>
      </c>
    </row>
    <row r="6" spans="1:17" s="7" customFormat="1" ht="12.9" customHeight="1" x14ac:dyDescent="0.25">
      <c r="A6" s="72" t="s">
        <v>146</v>
      </c>
      <c r="B6" s="72" t="s">
        <v>147</v>
      </c>
      <c r="C6" s="6">
        <v>60</v>
      </c>
      <c r="D6" s="6"/>
      <c r="E6" s="6"/>
      <c r="F6" s="6"/>
      <c r="G6" s="29">
        <v>1</v>
      </c>
      <c r="H6" s="30">
        <v>0</v>
      </c>
      <c r="I6" s="6">
        <f>(C6*$D$1*1.2+D6*$D$1+E6*$E$1+F6)</f>
        <v>3600</v>
      </c>
      <c r="J6" s="6">
        <f>I6*G6</f>
        <v>3600</v>
      </c>
      <c r="K6" s="6">
        <f>I6*(1-H6/1)</f>
        <v>3600</v>
      </c>
      <c r="L6" s="10">
        <f>K6*G6</f>
        <v>3600</v>
      </c>
      <c r="M6" s="11"/>
      <c r="N6" s="11"/>
    </row>
    <row r="7" spans="1:17" s="7" customFormat="1" ht="13.2" x14ac:dyDescent="0.25">
      <c r="A7" s="19"/>
      <c r="B7" s="20" t="s">
        <v>179</v>
      </c>
      <c r="C7" s="22"/>
      <c r="D7" s="20"/>
      <c r="E7" s="19"/>
      <c r="F7" s="20">
        <v>500</v>
      </c>
      <c r="G7" s="27">
        <v>5</v>
      </c>
      <c r="H7" s="30">
        <v>0</v>
      </c>
      <c r="I7" s="6">
        <f>(C7*$D$1*1.2+D7*$D$1+E7*$E$1+F7)</f>
        <v>500</v>
      </c>
      <c r="J7" s="6">
        <f>I7*G7</f>
        <v>2500</v>
      </c>
      <c r="K7" s="6">
        <f>I7*(1-H7/1)</f>
        <v>500</v>
      </c>
      <c r="L7" s="10">
        <f>K7*G7</f>
        <v>2500</v>
      </c>
      <c r="M7" s="11"/>
      <c r="N7" s="11"/>
    </row>
    <row r="8" spans="1:17" x14ac:dyDescent="0.3">
      <c r="A8" s="65"/>
      <c r="B8" s="78" t="s">
        <v>182</v>
      </c>
      <c r="C8" s="58"/>
      <c r="D8" s="58"/>
      <c r="E8" s="58"/>
      <c r="F8" s="58">
        <v>10000</v>
      </c>
      <c r="G8" s="59">
        <v>1</v>
      </c>
      <c r="H8" s="60">
        <v>0</v>
      </c>
      <c r="I8" s="58">
        <f>(C8*$D$1*1.2+D8*$D$1+E8*$E$1+F8)</f>
        <v>10000</v>
      </c>
      <c r="J8" s="58">
        <f>I8*G8</f>
        <v>10000</v>
      </c>
      <c r="K8" s="58">
        <f>I8*(1-H8/1)</f>
        <v>10000</v>
      </c>
      <c r="L8" s="61">
        <f>K8*G8</f>
        <v>10000</v>
      </c>
      <c r="M8" s="62"/>
      <c r="N8" s="62"/>
    </row>
    <row r="9" spans="1:17" s="33" customFormat="1" ht="13.2" x14ac:dyDescent="0.25">
      <c r="A9" s="34"/>
      <c r="B9" s="47" t="s">
        <v>50</v>
      </c>
      <c r="C9" s="48"/>
      <c r="D9" s="28">
        <v>29</v>
      </c>
      <c r="E9" s="28"/>
      <c r="F9" s="28"/>
      <c r="G9" s="38">
        <v>1</v>
      </c>
      <c r="H9" s="30">
        <v>0</v>
      </c>
      <c r="I9" s="28">
        <f t="shared" si="0"/>
        <v>1450</v>
      </c>
      <c r="J9" s="28">
        <f t="shared" si="1"/>
        <v>1450</v>
      </c>
      <c r="K9" s="28">
        <f t="shared" si="2"/>
        <v>1450</v>
      </c>
      <c r="L9" s="31">
        <f t="shared" si="3"/>
        <v>1450</v>
      </c>
      <c r="M9" s="32"/>
      <c r="N9" s="32"/>
    </row>
    <row r="10" spans="1:17" s="7" customFormat="1" ht="13.2" x14ac:dyDescent="0.25">
      <c r="A10" s="12"/>
      <c r="B10" s="12" t="s">
        <v>173</v>
      </c>
      <c r="C10" s="12"/>
      <c r="D10" s="12"/>
      <c r="E10" s="12"/>
      <c r="F10" s="12"/>
      <c r="G10" s="8">
        <v>1</v>
      </c>
      <c r="H10" s="12"/>
      <c r="I10" s="88">
        <f>SUM(J11:J26)</f>
        <v>0</v>
      </c>
      <c r="J10" s="89"/>
      <c r="K10" s="88">
        <f>SUM(L11:L26)</f>
        <v>0</v>
      </c>
      <c r="L10" s="89"/>
      <c r="M10" s="13">
        <f>K10+SUM(F42:F44)</f>
        <v>0</v>
      </c>
      <c r="N10" s="14">
        <f>ROUNDUP(K10*(1+0),-1)*G10</f>
        <v>0</v>
      </c>
    </row>
    <row r="11" spans="1:17" x14ac:dyDescent="0.3">
      <c r="A11" s="65"/>
      <c r="B11" s="78" t="s">
        <v>174</v>
      </c>
      <c r="C11" s="58"/>
      <c r="D11" s="58"/>
      <c r="E11" s="58"/>
      <c r="F11" s="58"/>
      <c r="G11" s="59">
        <v>22</v>
      </c>
      <c r="H11" s="60">
        <v>0</v>
      </c>
      <c r="I11" s="58">
        <f>(C11*$D$1*1.2+D11*$D$1+E11*$E$1+F11)</f>
        <v>0</v>
      </c>
      <c r="J11" s="58">
        <f>I11*G11</f>
        <v>0</v>
      </c>
      <c r="K11" s="58">
        <f>I11*(1-H11/1)</f>
        <v>0</v>
      </c>
      <c r="L11" s="61">
        <f>K11*G11</f>
        <v>0</v>
      </c>
      <c r="M11" s="62"/>
      <c r="N11" s="62"/>
    </row>
    <row r="12" spans="1:17" x14ac:dyDescent="0.3">
      <c r="A12" s="65"/>
      <c r="B12" s="78" t="s">
        <v>175</v>
      </c>
      <c r="C12" s="58"/>
      <c r="D12" s="58"/>
      <c r="E12" s="58"/>
      <c r="F12" s="58"/>
      <c r="G12" s="59">
        <v>15</v>
      </c>
      <c r="H12" s="60">
        <v>0</v>
      </c>
      <c r="I12" s="58">
        <f>(C12*$D$1*1.2+D12*$D$1+E12*$E$1+F12)</f>
        <v>0</v>
      </c>
      <c r="J12" s="58">
        <f>I12*G12</f>
        <v>0</v>
      </c>
      <c r="K12" s="58">
        <f>I12*(1-H12/1)</f>
        <v>0</v>
      </c>
      <c r="L12" s="61">
        <f>K12*G12</f>
        <v>0</v>
      </c>
      <c r="M12" s="62"/>
      <c r="N12" s="62"/>
      <c r="Q12" s="1">
        <f>SUM(O12:P12)</f>
        <v>0</v>
      </c>
    </row>
    <row r="13" spans="1:17" s="7" customFormat="1" ht="12.9" customHeight="1" x14ac:dyDescent="0.3">
      <c r="A13" s="52"/>
      <c r="B13" s="53" t="s">
        <v>180</v>
      </c>
      <c r="C13" s="6"/>
      <c r="D13" s="6"/>
      <c r="E13" s="6"/>
      <c r="F13" s="58"/>
      <c r="G13" s="29">
        <v>37</v>
      </c>
      <c r="H13" s="26">
        <v>0</v>
      </c>
      <c r="I13" s="58">
        <f t="shared" ref="I13:I15" si="4">(C13*$D$1*1.2+D13*$D$1+E13*$E$1+F13)</f>
        <v>0</v>
      </c>
      <c r="J13" s="58">
        <f t="shared" ref="J13:J15" si="5">I13*G13</f>
        <v>0</v>
      </c>
      <c r="K13" s="58">
        <f t="shared" ref="K13:K15" si="6">I13*(1-H13/1)</f>
        <v>0</v>
      </c>
      <c r="L13" s="58">
        <f t="shared" ref="L13:L15" si="7">K13*G13</f>
        <v>0</v>
      </c>
      <c r="M13" s="11"/>
      <c r="N13" s="11"/>
      <c r="P13" s="1"/>
      <c r="Q13" s="1">
        <f>SUM(O13:P13)</f>
        <v>0</v>
      </c>
    </row>
    <row r="14" spans="1:17" s="7" customFormat="1" ht="12.9" customHeight="1" x14ac:dyDescent="0.25">
      <c r="A14" s="52"/>
      <c r="B14" s="53" t="s">
        <v>181</v>
      </c>
      <c r="C14" s="6"/>
      <c r="D14" s="6"/>
      <c r="E14" s="6"/>
      <c r="F14" s="58"/>
      <c r="G14" s="29">
        <v>1</v>
      </c>
      <c r="H14" s="26">
        <v>0</v>
      </c>
      <c r="I14" s="58">
        <f t="shared" si="4"/>
        <v>0</v>
      </c>
      <c r="J14" s="58">
        <f t="shared" si="5"/>
        <v>0</v>
      </c>
      <c r="K14" s="58">
        <f t="shared" si="6"/>
        <v>0</v>
      </c>
      <c r="L14" s="58">
        <f t="shared" si="7"/>
        <v>0</v>
      </c>
      <c r="M14" s="11"/>
      <c r="N14" s="11"/>
      <c r="Q14" s="7">
        <f>SUM(Q12:Q13)</f>
        <v>0</v>
      </c>
    </row>
    <row r="15" spans="1:17" s="7" customFormat="1" ht="12.9" customHeight="1" x14ac:dyDescent="0.25">
      <c r="A15" s="52"/>
      <c r="B15" s="53" t="s">
        <v>165</v>
      </c>
      <c r="C15" s="6"/>
      <c r="D15" s="6"/>
      <c r="E15" s="6"/>
      <c r="F15" s="58"/>
      <c r="G15" s="29">
        <v>1</v>
      </c>
      <c r="H15" s="26">
        <v>0</v>
      </c>
      <c r="I15" s="58">
        <f t="shared" si="4"/>
        <v>0</v>
      </c>
      <c r="J15" s="58">
        <f t="shared" si="5"/>
        <v>0</v>
      </c>
      <c r="K15" s="58">
        <f t="shared" si="6"/>
        <v>0</v>
      </c>
      <c r="L15" s="58">
        <f t="shared" si="7"/>
        <v>0</v>
      </c>
      <c r="M15" s="11"/>
      <c r="N15" s="11"/>
    </row>
  </sheetData>
  <mergeCells count="7">
    <mergeCell ref="I10:J10"/>
    <mergeCell ref="K10:L10"/>
    <mergeCell ref="I3:J3"/>
    <mergeCell ref="K3:L3"/>
    <mergeCell ref="A1:A2"/>
    <mergeCell ref="I1:J1"/>
    <mergeCell ref="K1:L1"/>
  </mergeCells>
  <conditionalFormatting sqref="A8">
    <cfRule type="duplicateValues" dxfId="1" priority="1"/>
  </conditionalFormatting>
  <conditionalFormatting sqref="A11:A12">
    <cfRule type="duplicateValues" dxfId="0" priority="2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Вариант №2 (2)</vt:lpstr>
      <vt:lpstr>Вариант №2 (3)</vt:lpstr>
      <vt:lpstr>Кабель</vt:lpstr>
      <vt:lpstr>Доработка 17_11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Admin</cp:lastModifiedBy>
  <cp:lastPrinted>2020-11-30T06:27:36Z</cp:lastPrinted>
  <dcterms:created xsi:type="dcterms:W3CDTF">1996-10-08T23:32:33Z</dcterms:created>
  <dcterms:modified xsi:type="dcterms:W3CDTF">2025-12-22T10:57:30Z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7453214d-2876-46f3-9e6e-836a3c35caeb</vt:lpwstr>
  </property>
</Properties>
</file>